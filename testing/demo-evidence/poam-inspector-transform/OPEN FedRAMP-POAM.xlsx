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 POA&amp;M Items" sheetId="1" r:id="rId5"/>
  </sheets>
  <definedNames/>
  <calcPr/>
</workbook>
</file>

<file path=xl/sharedStrings.xml><?xml version="1.0" encoding="utf-8"?>
<sst xmlns="http://schemas.openxmlformats.org/spreadsheetml/2006/main" count="123" uniqueCount="123">
  <si>
    <t>POAM ID</t>
  </si>
  <si>
    <t>Controls</t>
  </si>
  <si>
    <t>Weakness Name</t>
  </si>
  <si>
    <t>Weakness Description</t>
  </si>
  <si>
    <t>Weakness Detector Source</t>
  </si>
  <si>
    <t>Weakness Source Identifier</t>
  </si>
  <si>
    <t>Asset Identifier</t>
  </si>
  <si>
    <t>Point of Contact</t>
  </si>
  <si>
    <t>Resources Required</t>
  </si>
  <si>
    <t>Remediation Plan</t>
  </si>
  <si>
    <t>Original Detection Date</t>
  </si>
  <si>
    <t>Scheduled Completion Date</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</si>
  <si>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</si>
  <si>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</si>
  <si>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</si>
  <si>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</si>
  <si>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</si>
  <si>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</si>
  <si>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</si>
  <si>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</si>
  <si>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</si>
  <si>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</si>
  <si>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</si>
  <si>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</si>
  <si>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Binding Operational Directive 22-01 tracking</t>
  </si>
  <si>
    <t>Binding Operational Directive 22-01 Due Date</t>
  </si>
  <si>
    <t>CVE</t>
  </si>
  <si>
    <t>Guidance</t>
  </si>
  <si>
    <r>
      <rPr>
        <rFont val="Arial"/>
        <color rgb="FF000000"/>
        <sz val="10.0"/>
      </rPr>
      <t xml:space="preserve">Assign a </t>
    </r>
    <r>
      <rPr>
        <rFont val="Arial"/>
        <b/>
        <color rgb="FF000000"/>
        <sz val="10.0"/>
      </rPr>
      <t>unique</t>
    </r>
    <r>
      <rPr>
        <rFont val="Arial"/>
        <color rgb="FF000000"/>
        <sz val="10.0"/>
      </rPr>
      <t xml:space="preserve"> identifier to each POA&amp;M item. This can be in any format or
naming convention that produces uniqueness. NOTE: During initial and annual assessments, assessors are instructed to use the CSP-established schema to assign a unique identifier (ID) to each RET item.</t>
    </r>
  </si>
  <si>
    <t>Enter the 800-53 control or controls that is/are affected by the weakness. If multiple controls are affected, separate them with commas.</t>
  </si>
  <si>
    <t>Enter a short description of the weakness. For scan-related vulnerabilities, use the name provided by the scanner.</t>
  </si>
  <si>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</si>
  <si>
    <t>Enter the scanner name or other source that detected the weakness.</t>
  </si>
  <si>
    <t xml:space="preserve">For scan-related vulnerabilities, include the vulnerability identifier provided by the scanner (plugin ID). Otherwise, leave this field blank. Do NOT enter N/A or None.  </t>
  </si>
  <si>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</si>
  <si>
    <t>Person responsible for resolving the weakness.</t>
  </si>
  <si>
    <t>If needed, specify additional resources required resolve the weakness.</t>
  </si>
  <si>
    <t>Describe the plan to resolve the weakness, especially if it cannot be fully remediated within the required timeframe. Provide enough detail to help agency customers understand the actions required, why more time is needed, and when the weakness will be fully remediated.</t>
  </si>
  <si>
    <t>Enter the date the weakness was first identified (also known as the Discovery Date). This date never changes.</t>
  </si>
  <si>
    <t>The scheduled completion date is automatically calculated based on the original detection date and risk rating. Do not modify this date. Note changes to the remediation plan and timeline in the Remediation Plan column.</t>
  </si>
  <si>
    <t>Enter the date this POA&amp;M item was last changed or closed. NOTE: Closed POA&amp;Ms are moved to the Closed POA&amp;M Items tab. Simply cut the entire row and paste it in the Closed POA&amp;M Items tab.</t>
  </si>
  <si>
    <t>If remediation is dependent on a downstream vendor, enter Yes. Otherwise, enter No.</t>
  </si>
  <si>
    <t>Enter the date of last vendor check-in, if applicable.</t>
  </si>
  <si>
    <t xml:space="preserve">Enter the name of the vendor. If Vendor Dependency is Yes, this field must be populated. If Vendor Dependency is No, leave this field blank. Do NOT enter N/A or None.  </t>
  </si>
  <si>
    <t>For scan-related vulnerabilities, enter the original risk rating from the scanner. For non-scan weaknesses, enter the risk rating provided by the assessor or determined through the risk analysis (i.e., likelihood/impact).</t>
  </si>
  <si>
    <t xml:space="preserve">Enter the adjusted risk rating if applicable. Otherwise, leave this field blank. Do NOT enter N/A or None.  </t>
  </si>
  <si>
    <t xml:space="preserve">If there is no risk adjustment (RA), select No from the drop-down.
If the RA is pending agency approval, select Pending. 
If the RA has been approved, select Yes. </t>
  </si>
  <si>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</si>
  <si>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</si>
  <si>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</si>
  <si>
    <t>List any supporting documents that are associated with this item
(e.g. evidence of remediation,evidence of vendor dependency, etc)</t>
  </si>
  <si>
    <t xml:space="preserve">To ensure a complete understanding of the weakness, enter additional information not specified in other columns as appropriate. Otherwise, leave this field blank. Do NOT enter N/A or None.  </t>
  </si>
  <si>
    <t>Is this vulnerability is listed among the CISA Known Exploited Vulnerability Catalog (https://www.cisa.gov/known-exploited-vulnerabilities-catalog)</t>
  </si>
  <si>
    <t xml:space="preserve">If this vulnerability is listed among the CISA Known Exploited Vulnerability Catalog (https://www.cisa.gov/known-exploited-vulnerabilities-catalog) include the due date given by CISA for this vulnerability. Otherwise, leave this field blank. Do NOT enter N/A or None.  </t>
  </si>
  <si>
    <t>The associated CVE numbers for this vulnerability, if applicable.</t>
  </si>
  <si>
    <t>Examples</t>
  </si>
  <si>
    <t>VS-001-AC(2)
PT-204-SR(2)</t>
  </si>
  <si>
    <t>RA-5, SC-13, IR-3</t>
  </si>
  <si>
    <t>Red Hat Update for glibc security (RHSA-2021:4358)
Elevated User Privileges</t>
  </si>
  <si>
    <t xml:space="preserve">The remote host contains one or more unsupported versions of Python. Lack of support implies that no new security patches for the product will be released by the vendor. As a result, it is likely to contain security vulnerabilities.
</t>
  </si>
  <si>
    <t>&lt;name of&gt; scanner, manual testing, penetration testing</t>
  </si>
  <si>
    <t>172.246.15.3 (80/TCP)
http://vuln.gov/queries
172.246.16.17 (80/TCP)</t>
  </si>
  <si>
    <t>John Doe -  Example CSP</t>
  </si>
  <si>
    <t xml:space="preserve">Will be resolved during &lt;date&gt; patching cycle.
OR
Migrate to new technical solution. Planned milestones are:
1) Milestone 1
2) Milestone 2
3) …...
</t>
  </si>
  <si>
    <t>Yes or No</t>
  </si>
  <si>
    <t>"Vendor XYZ" or leave blank</t>
  </si>
  <si>
    <t>Low, Moderate, High, Critical</t>
  </si>
  <si>
    <t>Low, Moderate, High, or leave blank</t>
  </si>
  <si>
    <t>Yes</t>
  </si>
  <si>
    <t>No</t>
  </si>
  <si>
    <t>Pending</t>
  </si>
  <si>
    <t>Rationale description or leave blank</t>
  </si>
  <si>
    <t>File name and location</t>
  </si>
  <si>
    <t>Additional comments or leave blank</t>
  </si>
  <si>
    <t>Yes or leave blank</t>
  </si>
  <si>
    <t>CVE-1234-1234</t>
  </si>
  <si>
    <t>Mandatory or Situational</t>
  </si>
  <si>
    <t>Mandatory</t>
  </si>
  <si>
    <t>Situational</t>
  </si>
  <si>
    <t xml:space="preserve">Mandatory
</t>
  </si>
  <si>
    <t>POAM-2026-0001</t>
  </si>
  <si>
    <t>RA-5, SI-2, IA-2, AC-6</t>
  </si>
  <si>
    <t>ALAS2023-2026-412: openssh signal handler race condition (RegreSSHion)</t>
  </si>
  <si>
    <t xml:space="preserve">A signal handler race condition was found in OpenSSH's server (sshd) on Amazon Linux 2023 allowing remote unauthenticated code execution.
Affected Package(s): openssh-server-9.0p1-14.amzn2023 (/usr/sbin/sshd)</t>
  </si>
  <si>
    <t>AWS Inspector</t>
  </si>
  <si>
    <t>ALAS2023-2026-412</t>
  </si>
  <si>
    <t>i-0a1b2c3d4e5f60001 (AWS_EC2_INSTANCE)</t>
  </si>
  <si>
    <t>Cloud Security / GRC Team</t>
  </si>
  <si>
    <t xml:space="preserve">Remediation Action: dnf update openssh-server --releasever=2023.5.20260708
Official AWS Inspector &amp; Advisory Remediation References:
• https://explore.alas.aws.amazon.com/ALAS2023-2026-412.html
• https://explore.alas.aws.amazon.com/CVE/CVE-2024-6387.html
• https://nvd.nist.gov/vuln/detail/CVE-2024-6387
• https://docs.aws.amazon.com/inspector/latest/user/findings-understanding.html</t>
  </si>
  <si>
    <t>Critical</t>
  </si>
  <si>
    <t>aws_inspector_scan.csv</t>
  </si>
  <si>
    <t>CVE-2024-6387</t>
  </si>
  <si>
    <t>POAM-2026-0002</t>
  </si>
  <si>
    <t>RA-5, SI-2, SC-13, IA-2, AC-6</t>
  </si>
  <si>
    <t>CVE-2024-45337 - golang.org/x/crypto/ssh ServerConfig PublicKeyCallback Authorization Bypass</t>
  </si>
  <si>
    <t xml:space="preserve">Applications and libraries that use ServerConfig.PublicKeyCallback in golang.org/x/crypto/ssh may be vulnerable to an authorization bypass when multiple keys are presented.
Affected Package(s): golang.org/x/crypto@v0.25.0 (/app/auth-proxy)</t>
  </si>
  <si>
    <t>CVE-2024-45337</t>
  </si>
  <si>
    <t>arn:aws:ecr:us-gov-west-1:123456789012:repository/grc-auth-proxy:v1.4.2 (AWS_ECR_CONTAINER_IMAGE)</t>
  </si>
  <si>
    <t xml:space="preserve">Remediation Action: Update golang.org/x/crypto to v0.31.0 or later and rebuild container image.
Official AWS Inspector &amp; Advisory Remediation References:
• https://pkg.go.dev/vuln/GO-2024-3321
• https://explore.alas.aws.amazon.com/CVE/CVE-2024-45337.html
• https://nvd.nist.gov/vuln/detail/CVE-2024-45337
• https://docs.aws.amazon.com/inspector/latest/user/findings-understanding.html</t>
  </si>
  <si>
    <t>High</t>
  </si>
  <si>
    <t>POAM-2026-0003</t>
  </si>
  <si>
    <t>RA-5, SI-2</t>
  </si>
  <si>
    <t>CVE-2023-44487 - HTTP/2 Rapid Reset Attack (nginx)</t>
  </si>
  <si>
    <t xml:space="preserve">The HTTP/2 protocol allows a denial of service (server resource consumption) because request cancellation can reset many streams quickly.
Affected Package(s): nginx-1.22.1-2.el9 (/usr/sbin/nginx)</t>
  </si>
  <si>
    <t>CVE-2023-44487</t>
  </si>
  <si>
    <t>i-0a1b2c3d4e5f60002 (AWS_EC2_INSTANCE)</t>
  </si>
  <si>
    <t xml:space="preserve">Remediation Action: dnf update nginx to 1.22.1-4.el9 or later.
Official AWS Inspector &amp; Advisory Remediation References:
• https://access.redhat.com/security/cve/CVE-2023-44487
• https://explore.alas.aws.amazon.com/CVE/CVE-2023-44487.html
• https://nvd.nist.gov/vuln/detail/CVE-2023-44487
• https://docs.aws.amazon.com/inspector/latest/user/findings-understanding.html</t>
  </si>
  <si>
    <t>POAM-2026-0004</t>
  </si>
  <si>
    <t>RA-5, SI-2, SC-8, SC-13, CM-6</t>
  </si>
  <si>
    <t>CVE-2024-2511 - OpenSSL Unbounded Memory Growth in TLSv1.3 Session Cache</t>
  </si>
  <si>
    <t xml:space="preserve">Some non-default TLS server configurations in OpenSSL can cause unbounded memory growth when processing TLSv1.3 sessions.
Affected Package(s): openssl-libs-3.0.7-24.el9 (/usr/lib64/libssl.so.3)</t>
  </si>
  <si>
    <t>CVE-2024-2511</t>
  </si>
  <si>
    <t>i-0a1b2c3d4e5f60003 (AWS_EC2_INSTANCE)</t>
  </si>
  <si>
    <t xml:space="preserve">Remediation Action: dnf update openssl-libs to 3.0.7-27.el9 or later.
Official AWS Inspector &amp; Advisory Remediation References:
• https://www.openssl.org/news/secadv/20240408.txt
• https://explore.alas.aws.amazon.com/CVE/CVE-2024-2511.html
• https://nvd.nist.gov/vuln/detail/CVE-2024-2511
• https://docs.aws.amazon.com/inspector/latest/user/findings-understanding.html</t>
  </si>
  <si>
    <t>Moderate</t>
  </si>
  <si>
    <t>POAM-2026-0005</t>
  </si>
  <si>
    <t>CVE-2025-21502 - Minor CPython urllib URL parsing edge case</t>
  </si>
  <si>
    <t xml:space="preserve">Improper validation of bracketed hostnames in urllib.parse on legacy Python builds.
Affected Package(s): python3-3.11.4 (/usr/bin/python3)</t>
  </si>
  <si>
    <t>CVE-2025-21502</t>
  </si>
  <si>
    <t>arn:aws:ecr:us-gov-west-1:123456789012:repository/grc-worker:v1.1.0 (AWS_ECR_CONTAINER_IMAGE)</t>
  </si>
  <si>
    <t xml:space="preserve">Remediation Action: Update the affected package/image or apply the AWS-recommended security patch for 'CVE-2025-21502 - Minor CPython urllib URL parsing edge case', redeploy the hardened AMI/container, and verify closure in AWS Inspector.
Official AWS Inspector &amp; Advisory Remediation References:
• https://nvd.nist.gov/vuln/detail/CVE-2025-21502
• https://explore.alas.aws.amazon.com/CVE/CVE-2025-21502.html
• https://docs.aws.amazon.com/inspector/latest/user/findings-understanding.html</t>
  </si>
  <si>
    <t>DEBIAN_APT</t>
  </si>
  <si>
    <t>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</si>
</sst>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9">
    <font>
      <sz val="10.0"/>
      <color rgb="FF000000"/>
      <name val="Arial"/>
      <scheme val="minor"/>
    </font>
    <font>
      <b/>
      <sz val="10.0"/>
      <color rgb="FF1A4480"/>
      <name val="Arial"/>
    </font>
    <font>
      <sz val="10.0"/>
      <color theme="1"/>
      <name val="Arial"/>
    </font>
    <font>
      <b/>
      <sz val="10.0"/>
      <color rgb="FF000000"/>
      <name val="Arial"/>
    </font>
    <font>
      <sz val="10.0"/>
      <color rgb="FF000000"/>
      <name val="Arial"/>
    </font>
    <font>
      <sz val="10.0"/>
      <color rgb="FF454545"/>
      <name val="Arial"/>
    </font>
    <font>
      <i/>
      <sz val="10.0"/>
      <color rgb="FF454545"/>
      <name val="Arial"/>
    </font>
    <font>
      <i/>
      <sz val="10.0"/>
      <color theme="1"/>
      <name val="Arial"/>
    </font>
    <font>
      <sz val="10.0"/>
      <color rgb="FFA5A5A5"/>
      <name val="Arial"/>
    </font>
  </fonts>
  <fills count="3">
    <fill>
      <patternFill patternType="none"/>
    </fill>
    <fill>
      <patternFill patternType="lightGray"/>
    </fill>
    <fill>
      <patternFill patternType="solid">
        <fgColor rgb="FFCCECFC"/>
        <bgColor rgb="FFCCECFC"/>
      </patternFill>
    </fill>
  </fills>
  <borders count="5">
    <border/>
    <border>
      <left/>
      <right/>
      <top/>
      <bottom/>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
      <right style="thin">
        <color rgb="FFD8D8D8"/>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Alignment="1" applyFont="1">
      <alignment vertical="top"/>
    </xf>
    <xf borderId="0" fillId="0" fontId="4" numFmtId="164" xfId="0" applyAlignment="1" applyFont="1" applyNumberFormat="1">
      <alignment shrinkToFit="0" vertical="top" wrapText="1"/>
    </xf>
    <xf borderId="0" fillId="0" fontId="4" numFmtId="0" xfId="0" applyAlignment="1" applyFont="1">
      <alignment shrinkToFit="0" vertical="top" wrapText="1"/>
    </xf>
    <xf borderId="0" fillId="0" fontId="4" numFmtId="14" xfId="0" applyAlignment="1" applyFont="1" applyNumberFormat="1">
      <alignment shrinkToFit="0" vertical="top" wrapText="1"/>
    </xf>
    <xf borderId="0" fillId="0" fontId="4" numFmtId="49" xfId="0" applyAlignment="1" applyFont="1" applyNumberFormat="1">
      <alignment shrinkToFit="0" vertical="top" wrapText="1"/>
    </xf>
    <xf borderId="2" fillId="0" fontId="5" numFmtId="0" xfId="0" applyAlignment="1" applyBorder="1" applyFont="1">
      <alignment horizontal="left" shrinkToFit="0" vertical="top" wrapText="1"/>
    </xf>
    <xf borderId="0" fillId="0" fontId="2" numFmtId="0" xfId="0" applyAlignment="1" applyFont="1">
      <alignment shrinkToFit="0" vertical="top" wrapText="1"/>
    </xf>
    <xf borderId="0" fillId="0" fontId="2" numFmtId="0" xfId="0" applyAlignment="1" applyFont="1">
      <alignment vertical="top"/>
    </xf>
    <xf borderId="2" fillId="0" fontId="6" numFmtId="0" xfId="0" applyAlignment="1" applyBorder="1" applyFont="1">
      <alignment shrinkToFit="0" vertical="top" wrapText="1"/>
    </xf>
    <xf borderId="2" fillId="0" fontId="6" numFmtId="0" xfId="0" applyAlignment="1" applyBorder="1" applyFont="1">
      <alignment horizontal="left" shrinkToFit="0" vertical="top" wrapText="1"/>
    </xf>
    <xf borderId="0" fillId="0" fontId="7" numFmtId="0" xfId="0" applyAlignment="1" applyFont="1">
      <alignment horizontal="left" shrinkToFit="0" vertical="top" wrapText="1"/>
    </xf>
    <xf borderId="2" fillId="0" fontId="6" numFmtId="14" xfId="0" applyAlignment="1" applyBorder="1" applyFont="1" applyNumberFormat="1">
      <alignment shrinkToFit="0" vertical="top" wrapText="1"/>
    </xf>
    <xf borderId="0" fillId="0" fontId="7" numFmtId="14" xfId="0" applyAlignment="1" applyFont="1" applyNumberFormat="1">
      <alignment horizontal="left" vertical="top"/>
    </xf>
    <xf borderId="0" fillId="0" fontId="7" numFmtId="14" xfId="0" applyAlignment="1" applyFont="1" applyNumberFormat="1">
      <alignment horizontal="left" shrinkToFit="0" vertical="top" wrapText="1"/>
    </xf>
    <xf borderId="3" fillId="0" fontId="6" numFmtId="0" xfId="0" applyAlignment="1" applyBorder="1" applyFont="1">
      <alignment horizontal="left" shrinkToFit="0" vertical="top" wrapText="1"/>
    </xf>
    <xf borderId="0" fillId="0" fontId="3" numFmtId="0" xfId="0" applyAlignment="1" applyFont="1">
      <alignment shrinkToFit="0" vertical="top" wrapText="1"/>
    </xf>
    <xf borderId="3"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xf borderId="0" fillId="0" fontId="2" numFmtId="14" xfId="0" applyFont="1" applyNumberFormat="1"/>
    <xf borderId="0" fillId="0" fontId="8" numFmtId="14" xfId="0" applyAlignment="1" applyFont="1" applyNumberFormat="1">
      <alignment horizontal="left" vertical="top"/>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38"/>
    <col customWidth="1" min="2" max="2" width="22.0"/>
    <col customWidth="1" min="3" max="28" width="20.88"/>
    <col customWidth="1" min="29" max="48" width="17.25"/>
  </cols>
  <sheetData>
    <row r="1" ht="12.7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2"/>
      <c r="AD1" s="2"/>
      <c r="AE1" s="2"/>
      <c r="AF1" s="2"/>
      <c r="AG1" s="2"/>
      <c r="AH1" s="2"/>
      <c r="AI1" s="2"/>
      <c r="AJ1" s="2"/>
      <c r="AK1" s="2"/>
      <c r="AL1" s="2"/>
      <c r="AM1" s="2"/>
      <c r="AN1" s="2"/>
      <c r="AO1" s="2"/>
      <c r="AP1" s="2"/>
      <c r="AQ1" s="2"/>
      <c r="AR1" s="2"/>
      <c r="AS1" s="2"/>
      <c r="AT1" s="2"/>
      <c r="AU1" s="2"/>
      <c r="AV1" s="2"/>
    </row>
    <row r="2" ht="12.75" customHeight="1">
      <c r="A2" s="3" t="s">
        <v>27</v>
      </c>
      <c r="B2" s="4" t="s">
        <v>28</v>
      </c>
      <c r="C2" s="4" t="s">
        <v>29</v>
      </c>
      <c r="D2" s="4" t="s">
        <v>30</v>
      </c>
      <c r="E2" s="4" t="s">
        <v>31</v>
      </c>
      <c r="F2" s="4" t="s">
        <v>32</v>
      </c>
      <c r="G2" s="4" t="s">
        <v>33</v>
      </c>
      <c r="H2" s="4" t="s">
        <v>34</v>
      </c>
      <c r="I2" s="4" t="s">
        <v>35</v>
      </c>
      <c r="J2" s="4" t="s">
        <v>36</v>
      </c>
      <c r="K2" s="4" t="s">
        <v>37</v>
      </c>
      <c r="L2" s="5" t="s">
        <v>38</v>
      </c>
      <c r="M2" s="6" t="s">
        <v>39</v>
      </c>
      <c r="N2" s="4" t="s">
        <v>40</v>
      </c>
      <c r="O2" s="4" t="s">
        <v>41</v>
      </c>
      <c r="P2" s="4" t="s">
        <v>42</v>
      </c>
      <c r="Q2" s="4" t="s">
        <v>43</v>
      </c>
      <c r="R2" s="4" t="s">
        <v>44</v>
      </c>
      <c r="S2" s="7" t="s">
        <v>45</v>
      </c>
      <c r="T2" s="8" t="s">
        <v>46</v>
      </c>
      <c r="U2" s="8" t="s">
        <v>47</v>
      </c>
      <c r="V2" s="8" t="s">
        <v>48</v>
      </c>
      <c r="W2" s="4" t="s">
        <v>49</v>
      </c>
      <c r="X2" s="4" t="s">
        <v>50</v>
      </c>
      <c r="Y2" s="8" t="s">
        <v>51</v>
      </c>
      <c r="Z2" s="9" t="s">
        <v>52</v>
      </c>
      <c r="AA2" s="9" t="s">
        <v>53</v>
      </c>
      <c r="AB2" s="9" t="s">
        <v>54</v>
      </c>
      <c r="AC2" s="10"/>
      <c r="AD2" s="10"/>
      <c r="AE2" s="10"/>
      <c r="AF2" s="10"/>
      <c r="AG2" s="10"/>
      <c r="AH2" s="10"/>
      <c r="AI2" s="10"/>
      <c r="AJ2" s="10"/>
      <c r="AK2" s="10"/>
      <c r="AL2" s="10"/>
      <c r="AM2" s="10"/>
      <c r="AN2" s="10"/>
      <c r="AO2" s="10"/>
      <c r="AP2" s="10"/>
      <c r="AQ2" s="10"/>
      <c r="AR2" s="10"/>
      <c r="AS2" s="10"/>
      <c r="AT2" s="10"/>
      <c r="AU2" s="10"/>
      <c r="AV2" s="10"/>
    </row>
    <row r="3" ht="12.75" customHeight="1">
      <c r="A3" s="3" t="s">
        <v>55</v>
      </c>
      <c r="B3" s="11" t="s">
        <v>56</v>
      </c>
      <c r="C3" s="11" t="s">
        <v>57</v>
      </c>
      <c r="D3" s="11" t="s">
        <v>58</v>
      </c>
      <c r="E3" s="11" t="s">
        <v>59</v>
      </c>
      <c r="F3" s="11" t="s">
        <v>60</v>
      </c>
      <c r="G3" s="12">
        <v>19506.0</v>
      </c>
      <c r="H3" s="13" t="s">
        <v>61</v>
      </c>
      <c r="I3" s="13" t="s">
        <v>62</v>
      </c>
      <c r="J3" s="13"/>
      <c r="K3" s="13" t="s">
        <v>63</v>
      </c>
      <c r="L3" s="14">
        <v>45607.0</v>
      </c>
      <c r="M3" s="15">
        <v>41854.0</v>
      </c>
      <c r="N3" s="16">
        <v>45637.0</v>
      </c>
      <c r="O3" s="17" t="s">
        <v>64</v>
      </c>
      <c r="P3" s="16">
        <v>41856.0</v>
      </c>
      <c r="Q3" s="17" t="s">
        <v>65</v>
      </c>
      <c r="R3" s="11" t="s">
        <v>66</v>
      </c>
      <c r="S3" s="11" t="s">
        <v>67</v>
      </c>
      <c r="T3" s="13" t="s">
        <v>68</v>
      </c>
      <c r="U3" s="13" t="s">
        <v>69</v>
      </c>
      <c r="V3" s="13" t="s">
        <v>70</v>
      </c>
      <c r="W3" s="13" t="s">
        <v>71</v>
      </c>
      <c r="X3" s="13" t="s">
        <v>72</v>
      </c>
      <c r="Y3" s="13" t="s">
        <v>73</v>
      </c>
      <c r="Z3" s="13" t="s">
        <v>74</v>
      </c>
      <c r="AA3" s="16">
        <v>45874.0</v>
      </c>
      <c r="AB3" s="13" t="s">
        <v>75</v>
      </c>
      <c r="AC3" s="2"/>
      <c r="AD3" s="2"/>
      <c r="AE3" s="2"/>
      <c r="AF3" s="2"/>
      <c r="AG3" s="2"/>
      <c r="AH3" s="2"/>
      <c r="AI3" s="2"/>
      <c r="AJ3" s="2"/>
      <c r="AK3" s="2"/>
      <c r="AL3" s="2"/>
      <c r="AM3" s="2"/>
      <c r="AN3" s="2"/>
      <c r="AO3" s="2"/>
      <c r="AP3" s="2"/>
      <c r="AQ3" s="2"/>
      <c r="AR3" s="2"/>
      <c r="AS3" s="2"/>
      <c r="AT3" s="2"/>
      <c r="AU3" s="2"/>
      <c r="AV3" s="2"/>
    </row>
    <row r="4" ht="12.75" customHeight="1">
      <c r="A4" s="18" t="s">
        <v>76</v>
      </c>
      <c r="B4" s="19" t="s">
        <v>77</v>
      </c>
      <c r="C4" s="19" t="s">
        <v>77</v>
      </c>
      <c r="D4" s="19" t="s">
        <v>77</v>
      </c>
      <c r="E4" s="19" t="s">
        <v>77</v>
      </c>
      <c r="F4" s="19" t="s">
        <v>77</v>
      </c>
      <c r="G4" s="19" t="s">
        <v>78</v>
      </c>
      <c r="H4" s="19" t="s">
        <v>77</v>
      </c>
      <c r="I4" s="19" t="s">
        <v>77</v>
      </c>
      <c r="J4" s="19" t="s">
        <v>78</v>
      </c>
      <c r="K4" s="19" t="s">
        <v>79</v>
      </c>
      <c r="L4" s="19" t="s">
        <v>79</v>
      </c>
      <c r="M4" s="19" t="s">
        <v>77</v>
      </c>
      <c r="N4" s="19" t="s">
        <v>77</v>
      </c>
      <c r="O4" s="19" t="s">
        <v>77</v>
      </c>
      <c r="P4" s="19" t="s">
        <v>78</v>
      </c>
      <c r="Q4" s="20" t="s">
        <v>78</v>
      </c>
      <c r="R4" s="19" t="s">
        <v>77</v>
      </c>
      <c r="S4" s="20" t="s">
        <v>78</v>
      </c>
      <c r="T4" s="20" t="s">
        <v>78</v>
      </c>
      <c r="U4" s="20" t="s">
        <v>78</v>
      </c>
      <c r="V4" s="20" t="s">
        <v>78</v>
      </c>
      <c r="W4" s="20" t="s">
        <v>78</v>
      </c>
      <c r="X4" s="20" t="s">
        <v>78</v>
      </c>
      <c r="Y4" s="20" t="s">
        <v>78</v>
      </c>
      <c r="Z4" s="20" t="s">
        <v>78</v>
      </c>
      <c r="AA4" s="20" t="s">
        <v>78</v>
      </c>
      <c r="AB4" s="20" t="s">
        <v>78</v>
      </c>
      <c r="AC4" s="2"/>
      <c r="AD4" s="2"/>
      <c r="AE4" s="2"/>
      <c r="AF4" s="2"/>
      <c r="AG4" s="2"/>
      <c r="AH4" s="2"/>
      <c r="AI4" s="2"/>
      <c r="AJ4" s="2"/>
      <c r="AK4" s="2"/>
      <c r="AL4" s="2"/>
      <c r="AM4" s="2"/>
      <c r="AN4" s="2"/>
      <c r="AO4" s="2"/>
      <c r="AP4" s="2"/>
      <c r="AQ4" s="2"/>
      <c r="AR4" s="2"/>
      <c r="AS4" s="2"/>
      <c r="AT4" s="2"/>
      <c r="AU4" s="2"/>
      <c r="AV4" s="2"/>
    </row>
    <row r="5" ht="18.0" customHeight="1">
      <c r="A5" s="2"/>
      <c r="B5" s="2" t="s">
        <v>80</v>
      </c>
      <c r="C5" s="2" t="s">
        <v>81</v>
      </c>
      <c r="D5" s="2" t="s">
        <v>82</v>
      </c>
      <c r="E5" s="2" t="s">
        <v>83</v>
      </c>
      <c r="F5" s="2" t="s">
        <v>84</v>
      </c>
      <c r="G5" s="2" t="s">
        <v>85</v>
      </c>
      <c r="H5" s="2" t="s">
        <v>86</v>
      </c>
      <c r="I5" s="2" t="s">
        <v>87</v>
      </c>
      <c r="J5" s="2"/>
      <c r="K5" s="2" t="s">
        <v>88</v>
      </c>
      <c r="L5" s="21">
        <v>46244</v>
      </c>
      <c r="M5" s="22">
        <f>IF(OR(S5="N/A",ISBLANK(S5),T5&lt;&gt;"Yes"),IF(OR(R5="Critical",R5="High"),L5+30,IF(R5="Moderate",L5+90,IF(R5="Low",L5+180,""))),IF(OR(S5="Critical",S5="High"),L5+30,IF(S5="Moderate",L5+90,IF(S5="Low",L5+180,""))))</f>
        <v>46274</v>
      </c>
      <c r="N5" s="21">
        <v>46315</v>
      </c>
      <c r="O5" s="2" t="s">
        <v>69</v>
      </c>
      <c r="P5" s="21"/>
      <c r="Q5" s="2"/>
      <c r="R5" s="2" t="s">
        <v>89</v>
      </c>
      <c r="S5" s="2"/>
      <c r="T5" s="2" t="s">
        <v>69</v>
      </c>
      <c r="U5" s="2" t="s">
        <v>69</v>
      </c>
      <c r="V5" s="2" t="s">
        <v>69</v>
      </c>
      <c r="W5" s="2"/>
      <c r="X5" s="2" t="s">
        <v>90</v>
      </c>
      <c r="Y5" s="2"/>
      <c r="Z5" s="2" t="s">
        <v>68</v>
      </c>
      <c r="AA5" s="21">
        <v>46258</v>
      </c>
      <c r="AB5" s="2" t="s">
        <v>91</v>
      </c>
    </row>
    <row r="6" ht="18.0" customHeight="1">
      <c r="A6" s="2"/>
      <c r="B6" s="2" t="s">
        <v>92</v>
      </c>
      <c r="C6" s="2" t="s">
        <v>93</v>
      </c>
      <c r="D6" s="2" t="s">
        <v>94</v>
      </c>
      <c r="E6" s="2" t="s">
        <v>95</v>
      </c>
      <c r="F6" s="2" t="s">
        <v>84</v>
      </c>
      <c r="G6" s="2" t="s">
        <v>96</v>
      </c>
      <c r="H6" s="2" t="s">
        <v>97</v>
      </c>
      <c r="I6" s="2" t="s">
        <v>87</v>
      </c>
      <c r="J6" s="2"/>
      <c r="K6" s="2" t="s">
        <v>98</v>
      </c>
      <c r="L6" s="21">
        <v>46266</v>
      </c>
      <c r="M6" s="22">
        <f>IF(OR(S6="N/A",ISBLANK(S6),T6&lt;&gt;"Yes"),IF(OR(R6="Critical",R6="High"),L6+30,IF(R6="Moderate",L6+90,IF(R6="Low",L6+180,""))),IF(OR(S6="Critical",S6="High"),L6+30,IF(S6="Moderate",L6+90,IF(S6="Low",L6+180,""))))</f>
        <v>46296</v>
      </c>
      <c r="N6" s="21">
        <v>46315</v>
      </c>
      <c r="O6" s="2" t="s">
        <v>69</v>
      </c>
      <c r="P6" s="21"/>
      <c r="Q6" s="2"/>
      <c r="R6" s="2" t="s">
        <v>99</v>
      </c>
      <c r="S6" s="2"/>
      <c r="T6" s="2" t="s">
        <v>69</v>
      </c>
      <c r="U6" s="2" t="s">
        <v>69</v>
      </c>
      <c r="V6" s="2" t="s">
        <v>69</v>
      </c>
      <c r="W6" s="2"/>
      <c r="X6" s="2" t="s">
        <v>90</v>
      </c>
      <c r="Y6" s="2"/>
      <c r="Z6" s="2"/>
      <c r="AA6" s="21"/>
      <c r="AB6" s="2" t="s">
        <v>96</v>
      </c>
    </row>
    <row r="7" ht="18.0" customHeight="1">
      <c r="A7" s="2"/>
      <c r="B7" s="2" t="s">
        <v>100</v>
      </c>
      <c r="C7" s="2" t="s">
        <v>101</v>
      </c>
      <c r="D7" s="2" t="s">
        <v>102</v>
      </c>
      <c r="E7" s="2" t="s">
        <v>103</v>
      </c>
      <c r="F7" s="2" t="s">
        <v>84</v>
      </c>
      <c r="G7" s="2" t="s">
        <v>104</v>
      </c>
      <c r="H7" s="2" t="s">
        <v>105</v>
      </c>
      <c r="I7" s="2" t="s">
        <v>87</v>
      </c>
      <c r="J7" s="2"/>
      <c r="K7" s="2" t="s">
        <v>106</v>
      </c>
      <c r="L7" s="21">
        <v>46297</v>
      </c>
      <c r="M7" s="22">
        <f>IF(OR(S7="N/A",ISBLANK(S7),T7&lt;&gt;"Yes"),IF(OR(R7="Critical",R7="High"),L7+30,IF(R7="Moderate",L7+90,IF(R7="Low",L7+180,""))),IF(OR(S7="Critical",S7="High"),L7+30,IF(S7="Moderate",L7+90,IF(S7="Low",L7+180,""))))</f>
        <v>46327</v>
      </c>
      <c r="N7" s="21">
        <v>46315</v>
      </c>
      <c r="O7" s="2" t="s">
        <v>69</v>
      </c>
      <c r="P7" s="21"/>
      <c r="Q7" s="2"/>
      <c r="R7" s="2" t="s">
        <v>99</v>
      </c>
      <c r="S7" s="2"/>
      <c r="T7" s="2" t="s">
        <v>69</v>
      </c>
      <c r="U7" s="2" t="s">
        <v>69</v>
      </c>
      <c r="V7" s="2" t="s">
        <v>69</v>
      </c>
      <c r="W7" s="2"/>
      <c r="X7" s="2" t="s">
        <v>90</v>
      </c>
      <c r="Y7" s="2"/>
      <c r="Z7" s="2" t="s">
        <v>68</v>
      </c>
      <c r="AA7" s="21">
        <v>46311</v>
      </c>
      <c r="AB7" s="2" t="s">
        <v>104</v>
      </c>
    </row>
    <row r="8" ht="18.0" customHeight="1">
      <c r="A8" s="2"/>
      <c r="B8" s="2" t="s">
        <v>107</v>
      </c>
      <c r="C8" s="2" t="s">
        <v>108</v>
      </c>
      <c r="D8" s="2" t="s">
        <v>109</v>
      </c>
      <c r="E8" s="2" t="s">
        <v>110</v>
      </c>
      <c r="F8" s="2" t="s">
        <v>84</v>
      </c>
      <c r="G8" s="2" t="s">
        <v>111</v>
      </c>
      <c r="H8" s="2" t="s">
        <v>112</v>
      </c>
      <c r="I8" s="2" t="s">
        <v>87</v>
      </c>
      <c r="J8" s="2"/>
      <c r="K8" s="2" t="s">
        <v>113</v>
      </c>
      <c r="L8" s="21">
        <v>46193</v>
      </c>
      <c r="M8" s="22">
        <f>IF(OR(S8="N/A",ISBLANK(S8),T8&lt;&gt;"Yes"),IF(OR(R8="Critical",R8="High"),L8+30,IF(R8="Moderate",L8+90,IF(R8="Low",L8+180,""))),IF(OR(S8="Critical",S8="High"),L8+30,IF(S8="Moderate",L8+90,IF(S8="Low",L8+180,""))))</f>
        <v>46283</v>
      </c>
      <c r="N8" s="21">
        <v>46315</v>
      </c>
      <c r="O8" s="2" t="s">
        <v>69</v>
      </c>
      <c r="P8" s="21"/>
      <c r="Q8" s="2"/>
      <c r="R8" s="2" t="s">
        <v>114</v>
      </c>
      <c r="S8" s="2"/>
      <c r="T8" s="2" t="s">
        <v>69</v>
      </c>
      <c r="U8" s="2" t="s">
        <v>69</v>
      </c>
      <c r="V8" s="2" t="s">
        <v>69</v>
      </c>
      <c r="W8" s="2"/>
      <c r="X8" s="2" t="s">
        <v>90</v>
      </c>
      <c r="Y8" s="2"/>
      <c r="Z8" s="2"/>
      <c r="AA8" s="21"/>
      <c r="AB8" s="2" t="s">
        <v>111</v>
      </c>
    </row>
    <row r="9" ht="18.0" customHeight="1">
      <c r="A9" s="2"/>
      <c r="B9" s="2" t="s">
        <v>115</v>
      </c>
      <c r="C9" s="2" t="s">
        <v>101</v>
      </c>
      <c r="D9" s="2" t="s">
        <v>116</v>
      </c>
      <c r="E9" s="2" t="s">
        <v>117</v>
      </c>
      <c r="F9" s="2" t="s">
        <v>84</v>
      </c>
      <c r="G9" s="2" t="s">
        <v>118</v>
      </c>
      <c r="H9" s="2" t="s">
        <v>119</v>
      </c>
      <c r="I9" s="2" t="s">
        <v>87</v>
      </c>
      <c r="J9" s="2"/>
      <c r="K9" s="2" t="s">
        <v>120</v>
      </c>
      <c r="L9" s="21">
        <v>46283</v>
      </c>
      <c r="M9" s="22">
        <f>IF(OR(S9="N/A",ISBLANK(S9),T9&lt;&gt;"Yes"),IF(OR(R9="Critical",R9="High"),L9+30,IF(R9="Moderate",L9+90,IF(R9="Low",L9+180,""))),IF(OR(S9="Critical",S9="High"),L9+30,IF(S9="Moderate",L9+90,IF(S9="Low",L9+180,""))))</f>
        <v>46463</v>
      </c>
      <c r="N9" s="21">
        <v>46315</v>
      </c>
      <c r="O9" s="2" t="s">
        <v>68</v>
      </c>
      <c r="P9" s="21"/>
      <c r="Q9" s="2" t="s">
        <v>121</v>
      </c>
      <c r="R9" s="2" t="s">
        <v>122</v>
      </c>
      <c r="S9" s="2"/>
      <c r="T9" s="2" t="s">
        <v>69</v>
      </c>
      <c r="U9" s="2" t="s">
        <v>69</v>
      </c>
      <c r="V9" s="2" t="s">
        <v>69</v>
      </c>
      <c r="W9" s="2"/>
      <c r="X9" s="2" t="s">
        <v>90</v>
      </c>
      <c r="Y9" s="2"/>
      <c r="Z9" s="2"/>
      <c r="AA9" s="21"/>
      <c r="AB9" s="2" t="s">
        <v>118</v>
      </c>
    </row>
    <row r="10" ht="18.0" customHeight="1">
      <c r="A10" s="2"/>
      <c r="B10" s="2"/>
      <c r="C10" s="2"/>
      <c r="D10" s="2"/>
      <c r="E10" s="2"/>
      <c r="F10" s="2"/>
      <c r="G10" s="2"/>
      <c r="H10" s="2"/>
      <c r="I10" s="2"/>
      <c r="J10" s="2"/>
      <c r="K10" s="2"/>
      <c r="L10" s="21"/>
      <c r="M10" s="22">
        <f>IF(OR(S10="N/A",ISBLANK(S10),T10&lt;&gt;"Yes"),IF(OR(R10="Critical",R10="High"),L10+30,IF(R10="Moderate",L10+90,IF(R10="Low",L10+180,""))),IF(OR(S10="Critical",S10="High"),L10+30,IF(S10="Moderate",L10+90,IF(S10="Low",L10+180,""))))</f>
      </c>
      <c r="N10" s="21"/>
      <c r="O10" s="2"/>
      <c r="P10" s="21"/>
      <c r="Q10" s="2"/>
      <c r="R10" s="2"/>
      <c r="S10" s="2"/>
      <c r="T10" s="2"/>
      <c r="U10" s="2"/>
      <c r="V10" s="2"/>
      <c r="W10" s="2"/>
      <c r="X10" s="2"/>
      <c r="Y10" s="2"/>
      <c r="Z10" s="2"/>
      <c r="AA10" s="21"/>
      <c r="AB10" s="2"/>
    </row>
    <row r="11" ht="18.0" customHeight="1">
      <c r="A11" s="2"/>
      <c r="B11" s="2"/>
      <c r="C11" s="2"/>
      <c r="D11" s="2"/>
      <c r="E11" s="2"/>
      <c r="F11" s="2"/>
      <c r="G11" s="2"/>
      <c r="H11" s="2"/>
      <c r="I11" s="2"/>
      <c r="J11" s="2"/>
      <c r="K11" s="2"/>
      <c r="L11" s="21"/>
      <c r="M11" s="22">
        <f>IF(OR(S11="N/A",ISBLANK(S11),T11&lt;&gt;"Yes"),IF(OR(R11="Critical",R11="High"),L11+30,IF(R11="Moderate",L11+90,IF(R11="Low",L11+180,""))),IF(OR(S11="Critical",S11="High"),L11+30,IF(S11="Moderate",L11+90,IF(S11="Low",L11+180,""))))</f>
      </c>
      <c r="N11" s="21"/>
      <c r="O11" s="2"/>
      <c r="P11" s="21"/>
      <c r="Q11" s="2"/>
      <c r="R11" s="2"/>
      <c r="S11" s="2"/>
      <c r="T11" s="2"/>
      <c r="U11" s="2"/>
      <c r="V11" s="2"/>
      <c r="W11" s="2"/>
      <c r="X11" s="2"/>
      <c r="Y11" s="2"/>
      <c r="Z11" s="2"/>
      <c r="AA11" s="21"/>
      <c r="AB11" s="2"/>
    </row>
    <row r="12" ht="18.0" customHeight="1">
      <c r="A12" s="2"/>
      <c r="B12" s="2"/>
      <c r="C12" s="2"/>
      <c r="D12" s="2"/>
      <c r="E12" s="2"/>
      <c r="F12" s="2"/>
      <c r="G12" s="2"/>
      <c r="H12" s="2"/>
      <c r="I12" s="2"/>
      <c r="J12" s="2"/>
      <c r="K12" s="2"/>
      <c r="L12" s="21"/>
      <c r="M12" s="22">
        <f>IF(OR(S12="N/A",ISBLANK(S12),T12&lt;&gt;"Yes"),IF(OR(R12="Critical",R12="High"),L12+30,IF(R12="Moderate",L12+90,IF(R12="Low",L12+180,""))),IF(OR(S12="Critical",S12="High"),L12+30,IF(S12="Moderate",L12+90,IF(S12="Low",L12+180,""))))</f>
      </c>
      <c r="N12" s="21"/>
      <c r="O12" s="2"/>
      <c r="P12" s="21"/>
      <c r="Q12" s="2"/>
      <c r="R12" s="2"/>
      <c r="S12" s="2"/>
      <c r="T12" s="2"/>
      <c r="U12" s="2"/>
      <c r="V12" s="2"/>
      <c r="W12" s="2"/>
      <c r="X12" s="2"/>
      <c r="Y12" s="2"/>
      <c r="Z12" s="2"/>
      <c r="AA12" s="21"/>
      <c r="AB12" s="2"/>
    </row>
    <row r="13" ht="18.0" customHeight="1">
      <c r="A13" s="2"/>
      <c r="B13" s="2"/>
      <c r="C13" s="2"/>
      <c r="D13" s="2"/>
      <c r="E13" s="2"/>
      <c r="F13" s="2"/>
      <c r="G13" s="2"/>
      <c r="H13" s="2"/>
      <c r="I13" s="2"/>
      <c r="J13" s="2"/>
      <c r="K13" s="2"/>
      <c r="L13" s="21"/>
      <c r="M13" s="22">
        <f>IF(OR(S13="N/A",ISBLANK(S13),T13&lt;&gt;"Yes"),IF(OR(R13="Critical",R13="High"),L13+30,IF(R13="Moderate",L13+90,IF(R13="Low",L13+180,""))),IF(OR(S13="Critical",S13="High"),L13+30,IF(S13="Moderate",L13+90,IF(S13="Low",L13+180,""))))</f>
      </c>
      <c r="N13" s="21"/>
      <c r="O13" s="2"/>
      <c r="P13" s="21"/>
      <c r="Q13" s="2"/>
      <c r="R13" s="2"/>
      <c r="S13" s="2"/>
      <c r="T13" s="2"/>
      <c r="U13" s="2"/>
      <c r="V13" s="2"/>
      <c r="W13" s="2"/>
      <c r="X13" s="2"/>
      <c r="Y13" s="2"/>
      <c r="Z13" s="2"/>
      <c r="AA13" s="21"/>
      <c r="AB13" s="2"/>
    </row>
    <row r="14" ht="18.0" customHeight="1">
      <c r="A14" s="2"/>
      <c r="B14" s="2"/>
      <c r="C14" s="2"/>
      <c r="D14" s="2"/>
      <c r="E14" s="2"/>
      <c r="F14" s="2"/>
      <c r="G14" s="2"/>
      <c r="H14" s="2"/>
      <c r="I14" s="2"/>
      <c r="J14" s="2"/>
      <c r="K14" s="2"/>
      <c r="L14" s="21"/>
      <c r="M14" s="22">
        <f>IF(OR(S14="N/A",ISBLANK(S14),T14&lt;&gt;"Yes"),IF(OR(R14="Critical",R14="High"),L14+30,IF(R14="Moderate",L14+90,IF(R14="Low",L14+180,""))),IF(OR(S14="Critical",S14="High"),L14+30,IF(S14="Moderate",L14+90,IF(S14="Low",L14+180,""))))</f>
      </c>
      <c r="N14" s="21"/>
      <c r="O14" s="2"/>
      <c r="P14" s="21"/>
      <c r="Q14" s="2"/>
      <c r="R14" s="2"/>
      <c r="S14" s="2"/>
      <c r="T14" s="2"/>
      <c r="U14" s="2"/>
      <c r="V14" s="2"/>
      <c r="W14" s="2"/>
      <c r="X14" s="2"/>
      <c r="Y14" s="2"/>
      <c r="Z14" s="2"/>
      <c r="AA14" s="21"/>
      <c r="AB14" s="2"/>
    </row>
    <row r="15" ht="18.0" customHeight="1">
      <c r="A15" s="2"/>
      <c r="B15" s="2"/>
      <c r="C15" s="2"/>
      <c r="D15" s="2"/>
      <c r="E15" s="2"/>
      <c r="F15" s="2"/>
      <c r="G15" s="2"/>
      <c r="H15" s="2"/>
      <c r="I15" s="2"/>
      <c r="J15" s="2"/>
      <c r="K15" s="2"/>
      <c r="L15" s="21"/>
      <c r="M15" s="22">
        <f>IF(OR(S15="N/A",ISBLANK(S15),T15&lt;&gt;"Yes"),IF(OR(R15="Critical",R15="High"),L15+30,IF(R15="Moderate",L15+90,IF(R15="Low",L15+180,""))),IF(OR(S15="Critical",S15="High"),L15+30,IF(S15="Moderate",L15+90,IF(S15="Low",L15+180,""))))</f>
      </c>
      <c r="N15" s="21"/>
      <c r="O15" s="2"/>
      <c r="P15" s="21"/>
      <c r="Q15" s="2"/>
      <c r="R15" s="2"/>
      <c r="S15" s="2"/>
      <c r="T15" s="2"/>
      <c r="U15" s="2"/>
      <c r="V15" s="2"/>
      <c r="W15" s="2"/>
      <c r="X15" s="2"/>
      <c r="Y15" s="2"/>
      <c r="Z15" s="2"/>
      <c r="AA15" s="21"/>
      <c r="AB15" s="2"/>
    </row>
    <row r="16" ht="18.0" customHeight="1">
      <c r="A16" s="2"/>
      <c r="B16" s="2"/>
      <c r="C16" s="2"/>
      <c r="D16" s="2"/>
      <c r="E16" s="2"/>
      <c r="F16" s="2"/>
      <c r="G16" s="2"/>
      <c r="H16" s="2"/>
      <c r="I16" s="2"/>
      <c r="J16" s="2"/>
      <c r="K16" s="2"/>
      <c r="L16" s="21"/>
      <c r="M16" s="22">
        <f>IF(OR(S16="N/A",ISBLANK(S16),T16&lt;&gt;"Yes"),IF(OR(R16="Critical",R16="High"),L16+30,IF(R16="Moderate",L16+90,IF(R16="Low",L16+180,""))),IF(OR(S16="Critical",S16="High"),L16+30,IF(S16="Moderate",L16+90,IF(S16="Low",L16+180,""))))</f>
      </c>
      <c r="N16" s="21"/>
      <c r="O16" s="2"/>
      <c r="P16" s="21"/>
      <c r="Q16" s="2"/>
      <c r="R16" s="2"/>
      <c r="S16" s="2"/>
      <c r="T16" s="2"/>
      <c r="U16" s="2"/>
      <c r="V16" s="2"/>
      <c r="W16" s="2"/>
      <c r="X16" s="2"/>
      <c r="Y16" s="2"/>
      <c r="Z16" s="2"/>
      <c r="AA16" s="21"/>
      <c r="AB16" s="2"/>
    </row>
    <row r="17" ht="18.0" customHeight="1">
      <c r="A17" s="2"/>
      <c r="B17" s="2"/>
      <c r="C17" s="2"/>
      <c r="D17" s="2"/>
      <c r="E17" s="2"/>
      <c r="F17" s="2"/>
      <c r="G17" s="2"/>
      <c r="H17" s="2"/>
      <c r="I17" s="2"/>
      <c r="J17" s="2"/>
      <c r="K17" s="2"/>
      <c r="L17" s="21"/>
      <c r="M17" s="22">
        <f>IF(OR(S17="N/A",ISBLANK(S17),T17&lt;&gt;"Yes"),IF(OR(R17="Critical",R17="High"),L17+30,IF(R17="Moderate",L17+90,IF(R17="Low",L17+180,""))),IF(OR(S17="Critical",S17="High"),L17+30,IF(S17="Moderate",L17+90,IF(S17="Low",L17+180,""))))</f>
      </c>
      <c r="N17" s="21"/>
      <c r="O17" s="2"/>
      <c r="P17" s="21"/>
      <c r="Q17" s="2"/>
      <c r="R17" s="2"/>
      <c r="S17" s="2"/>
      <c r="T17" s="2"/>
      <c r="U17" s="2"/>
      <c r="V17" s="2"/>
      <c r="W17" s="2"/>
      <c r="X17" s="2"/>
      <c r="Y17" s="2"/>
      <c r="Z17" s="2"/>
      <c r="AA17" s="21"/>
      <c r="AB17" s="2"/>
    </row>
    <row r="18" ht="18.0" customHeight="1">
      <c r="A18" s="2"/>
      <c r="B18" s="2"/>
      <c r="C18" s="2"/>
      <c r="D18" s="2"/>
      <c r="E18" s="2"/>
      <c r="F18" s="2"/>
      <c r="G18" s="2"/>
      <c r="H18" s="2"/>
      <c r="I18" s="2"/>
      <c r="J18" s="2"/>
      <c r="K18" s="2"/>
      <c r="L18" s="21"/>
      <c r="M18" s="22">
        <f>IF(OR(S18="N/A",ISBLANK(S18),T18&lt;&gt;"Yes"),IF(OR(R18="Critical",R18="High"),L18+30,IF(R18="Moderate",L18+90,IF(R18="Low",L18+180,""))),IF(OR(S18="Critical",S18="High"),L18+30,IF(S18="Moderate",L18+90,IF(S18="Low",L18+180,""))))</f>
      </c>
      <c r="N18" s="21"/>
      <c r="O18" s="2"/>
      <c r="P18" s="21"/>
      <c r="Q18" s="2"/>
      <c r="R18" s="2"/>
      <c r="S18" s="2"/>
      <c r="T18" s="2"/>
      <c r="U18" s="2"/>
      <c r="V18" s="2"/>
      <c r="W18" s="2"/>
      <c r="X18" s="2"/>
      <c r="Y18" s="2"/>
      <c r="Z18" s="2"/>
      <c r="AA18" s="21"/>
      <c r="AB18" s="2"/>
    </row>
    <row r="19" ht="18.0" customHeight="1">
      <c r="A19" s="2"/>
      <c r="B19" s="2"/>
      <c r="C19" s="2"/>
      <c r="D19" s="2"/>
      <c r="E19" s="2"/>
      <c r="F19" s="2"/>
      <c r="G19" s="2"/>
      <c r="H19" s="2"/>
      <c r="I19" s="2"/>
      <c r="J19" s="2"/>
      <c r="K19" s="2"/>
      <c r="L19" s="21"/>
      <c r="M19" s="22">
        <f>IF(OR(S19="N/A",ISBLANK(S19),T19&lt;&gt;"Yes"),IF(OR(R19="Critical",R19="High"),L19+30,IF(R19="Moderate",L19+90,IF(R19="Low",L19+180,""))),IF(OR(S19="Critical",S19="High"),L19+30,IF(S19="Moderate",L19+90,IF(S19="Low",L19+180,""))))</f>
      </c>
      <c r="N19" s="21"/>
      <c r="O19" s="2"/>
      <c r="P19" s="21"/>
      <c r="Q19" s="2"/>
      <c r="R19" s="2"/>
      <c r="S19" s="2"/>
      <c r="T19" s="2"/>
      <c r="U19" s="2"/>
      <c r="V19" s="2"/>
      <c r="W19" s="2"/>
      <c r="X19" s="2"/>
      <c r="Y19" s="2"/>
      <c r="Z19" s="2"/>
      <c r="AA19" s="21"/>
      <c r="AB19" s="2"/>
    </row>
    <row r="20" ht="18.0" customHeight="1">
      <c r="A20" s="2"/>
      <c r="B20" s="2"/>
      <c r="C20" s="2"/>
      <c r="D20" s="2"/>
      <c r="E20" s="2"/>
      <c r="F20" s="2"/>
      <c r="G20" s="2"/>
      <c r="H20" s="2"/>
      <c r="I20" s="2"/>
      <c r="J20" s="2"/>
      <c r="K20" s="2"/>
      <c r="L20" s="21"/>
      <c r="M20" s="22">
        <f>IF(OR(S20="N/A",ISBLANK(S20),T20&lt;&gt;"Yes"),IF(OR(R20="Critical",R20="High"),L20+30,IF(R20="Moderate",L20+90,IF(R20="Low",L20+180,""))),IF(OR(S20="Critical",S20="High"),L20+30,IF(S20="Moderate",L20+90,IF(S20="Low",L20+180,""))))</f>
      </c>
      <c r="N20" s="21"/>
      <c r="O20" s="2"/>
      <c r="P20" s="21"/>
      <c r="Q20" s="2"/>
      <c r="R20" s="2"/>
      <c r="S20" s="2"/>
      <c r="T20" s="2"/>
      <c r="U20" s="2"/>
      <c r="V20" s="2"/>
      <c r="W20" s="2"/>
      <c r="X20" s="2"/>
      <c r="Y20" s="2"/>
      <c r="Z20" s="2"/>
      <c r="AA20" s="21"/>
      <c r="AB20" s="2"/>
    </row>
    <row r="21" ht="18.0" customHeight="1">
      <c r="A21" s="2"/>
      <c r="B21" s="2"/>
      <c r="C21" s="2"/>
      <c r="D21" s="2"/>
      <c r="E21" s="2"/>
      <c r="F21" s="2"/>
      <c r="G21" s="2"/>
      <c r="H21" s="2"/>
      <c r="I21" s="2"/>
      <c r="J21" s="2"/>
      <c r="K21" s="2"/>
      <c r="L21" s="21"/>
      <c r="M21" s="22">
        <f>IF(OR(S21="N/A",ISBLANK(S21),T21&lt;&gt;"Yes"),IF(OR(R21="Critical",R21="High"),L21+30,IF(R21="Moderate",L21+90,IF(R21="Low",L21+180,""))),IF(OR(S21="Critical",S21="High"),L21+30,IF(S21="Moderate",L21+90,IF(S21="Low",L21+180,""))))</f>
      </c>
      <c r="N21" s="21"/>
      <c r="O21" s="2"/>
      <c r="P21" s="21"/>
      <c r="Q21" s="2"/>
      <c r="R21" s="2"/>
      <c r="S21" s="2"/>
      <c r="T21" s="2"/>
      <c r="U21" s="2"/>
      <c r="V21" s="2"/>
      <c r="W21" s="2"/>
      <c r="X21" s="2"/>
      <c r="Y21" s="2"/>
      <c r="Z21" s="2"/>
      <c r="AA21" s="21"/>
      <c r="AB21" s="2"/>
    </row>
    <row r="22" ht="18.0" customHeight="1">
      <c r="A22" s="2"/>
      <c r="B22" s="2"/>
      <c r="C22" s="2"/>
      <c r="D22" s="2"/>
      <c r="E22" s="2"/>
      <c r="F22" s="2"/>
      <c r="G22" s="2"/>
      <c r="H22" s="2"/>
      <c r="I22" s="2"/>
      <c r="J22" s="2"/>
      <c r="K22" s="2"/>
      <c r="L22" s="21"/>
      <c r="M22" s="22">
        <f>IF(OR(S22="N/A",ISBLANK(S22),T22&lt;&gt;"Yes"),IF(OR(R22="Critical",R22="High"),L22+30,IF(R22="Moderate",L22+90,IF(R22="Low",L22+180,""))),IF(OR(S22="Critical",S22="High"),L22+30,IF(S22="Moderate",L22+90,IF(S22="Low",L22+180,""))))</f>
      </c>
      <c r="N22" s="21"/>
      <c r="O22" s="2"/>
      <c r="P22" s="21"/>
      <c r="Q22" s="2"/>
      <c r="R22" s="2"/>
      <c r="S22" s="2"/>
      <c r="T22" s="2"/>
      <c r="U22" s="2"/>
      <c r="V22" s="2"/>
      <c r="W22" s="2"/>
      <c r="X22" s="2"/>
      <c r="Y22" s="2"/>
      <c r="Z22" s="2"/>
      <c r="AA22" s="21"/>
      <c r="AB22" s="2"/>
    </row>
    <row r="23" ht="18.0" customHeight="1">
      <c r="A23" s="2"/>
      <c r="B23" s="2"/>
      <c r="C23" s="2"/>
      <c r="D23" s="2"/>
      <c r="E23" s="2"/>
      <c r="F23" s="2"/>
      <c r="G23" s="2"/>
      <c r="H23" s="2"/>
      <c r="I23" s="2"/>
      <c r="J23" s="2"/>
      <c r="K23" s="2"/>
      <c r="L23" s="21"/>
      <c r="M23" s="22">
        <f>IF(OR(S23="N/A",ISBLANK(S23),T23&lt;&gt;"Yes"),IF(OR(R23="Critical",R23="High"),L23+30,IF(R23="Moderate",L23+90,IF(R23="Low",L23+180,""))),IF(OR(S23="Critical",S23="High"),L23+30,IF(S23="Moderate",L23+90,IF(S23="Low",L23+180,""))))</f>
      </c>
      <c r="N23" s="21"/>
      <c r="O23" s="2"/>
      <c r="P23" s="21"/>
      <c r="Q23" s="2"/>
      <c r="R23" s="2"/>
      <c r="S23" s="2"/>
      <c r="T23" s="2"/>
      <c r="U23" s="2"/>
      <c r="V23" s="2"/>
      <c r="W23" s="2"/>
      <c r="X23" s="2"/>
      <c r="Y23" s="2"/>
      <c r="Z23" s="2"/>
      <c r="AA23" s="21"/>
      <c r="AB23" s="2"/>
    </row>
    <row r="24" ht="18.0" customHeight="1">
      <c r="A24" s="2"/>
      <c r="B24" s="2"/>
      <c r="C24" s="2"/>
      <c r="D24" s="2"/>
      <c r="E24" s="2"/>
      <c r="F24" s="2"/>
      <c r="G24" s="2"/>
      <c r="H24" s="2"/>
      <c r="I24" s="2"/>
      <c r="J24" s="2"/>
      <c r="K24" s="2"/>
      <c r="L24" s="21"/>
      <c r="M24" s="22">
        <f>IF(OR(S24="N/A",ISBLANK(S24),T24&lt;&gt;"Yes"),IF(OR(R24="Critical",R24="High"),L24+30,IF(R24="Moderate",L24+90,IF(R24="Low",L24+180,""))),IF(OR(S24="Critical",S24="High"),L24+30,IF(S24="Moderate",L24+90,IF(S24="Low",L24+180,""))))</f>
      </c>
      <c r="N24" s="21"/>
      <c r="O24" s="2"/>
      <c r="P24" s="21"/>
      <c r="Q24" s="2"/>
      <c r="R24" s="2"/>
      <c r="S24" s="2"/>
      <c r="T24" s="2"/>
      <c r="U24" s="2"/>
      <c r="V24" s="2"/>
      <c r="W24" s="2"/>
      <c r="X24" s="2"/>
      <c r="Y24" s="2"/>
      <c r="Z24" s="2"/>
      <c r="AA24" s="21"/>
      <c r="AB24" s="2"/>
    </row>
    <row r="25" ht="18.0" customHeight="1">
      <c r="A25" s="2"/>
      <c r="B25" s="2"/>
      <c r="C25" s="2"/>
      <c r="D25" s="2"/>
      <c r="E25" s="2"/>
      <c r="F25" s="2"/>
      <c r="G25" s="2"/>
      <c r="H25" s="2"/>
      <c r="I25" s="2"/>
      <c r="J25" s="2"/>
      <c r="K25" s="2"/>
      <c r="L25" s="21"/>
      <c r="M25" s="22">
        <f>IF(OR(S25="N/A",ISBLANK(S25),T25&lt;&gt;"Yes"),IF(OR(R25="Critical",R25="High"),L25+30,IF(R25="Moderate",L25+90,IF(R25="Low",L25+180,""))),IF(OR(S25="Critical",S25="High"),L25+30,IF(S25="Moderate",L25+90,IF(S25="Low",L25+180,""))))</f>
      </c>
      <c r="N25" s="21"/>
      <c r="O25" s="2"/>
      <c r="P25" s="21"/>
      <c r="Q25" s="2"/>
      <c r="R25" s="2"/>
      <c r="S25" s="2"/>
      <c r="T25" s="2"/>
      <c r="U25" s="2"/>
      <c r="V25" s="2"/>
      <c r="W25" s="2"/>
      <c r="X25" s="2"/>
      <c r="Y25" s="2"/>
      <c r="Z25" s="2"/>
      <c r="AA25" s="21"/>
      <c r="AB25" s="2"/>
    </row>
    <row r="26" ht="18.0" customHeight="1">
      <c r="A26" s="2"/>
      <c r="B26" s="2"/>
      <c r="C26" s="2"/>
      <c r="D26" s="2"/>
      <c r="E26" s="2"/>
      <c r="F26" s="2"/>
      <c r="G26" s="2"/>
      <c r="H26" s="2"/>
      <c r="I26" s="2"/>
      <c r="J26" s="2"/>
      <c r="K26" s="2"/>
      <c r="L26" s="21"/>
      <c r="M26" s="22">
        <f>IF(OR(S26="N/A",ISBLANK(S26),T26&lt;&gt;"Yes"),IF(OR(R26="Critical",R26="High"),L26+30,IF(R26="Moderate",L26+90,IF(R26="Low",L26+180,""))),IF(OR(S26="Critical",S26="High"),L26+30,IF(S26="Moderate",L26+90,IF(S26="Low",L26+180,""))))</f>
      </c>
      <c r="N26" s="21"/>
      <c r="O26" s="2"/>
      <c r="P26" s="21"/>
      <c r="Q26" s="2"/>
      <c r="R26" s="2"/>
      <c r="S26" s="2"/>
      <c r="T26" s="2"/>
      <c r="U26" s="2"/>
      <c r="V26" s="2"/>
      <c r="W26" s="2"/>
      <c r="X26" s="2"/>
      <c r="Y26" s="2"/>
      <c r="Z26" s="2"/>
      <c r="AA26" s="21"/>
      <c r="AB26" s="2"/>
    </row>
    <row r="27" ht="18.0" customHeight="1">
      <c r="A27" s="2"/>
      <c r="B27" s="2"/>
      <c r="C27" s="2"/>
      <c r="D27" s="2"/>
      <c r="E27" s="2"/>
      <c r="F27" s="2"/>
      <c r="G27" s="2"/>
      <c r="H27" s="2"/>
      <c r="I27" s="2"/>
      <c r="J27" s="2"/>
      <c r="K27" s="2"/>
      <c r="L27" s="21"/>
      <c r="M27" s="22">
        <f>IF(OR(S27="N/A",ISBLANK(S27),T27&lt;&gt;"Yes"),IF(OR(R27="Critical",R27="High"),L27+30,IF(R27="Moderate",L27+90,IF(R27="Low",L27+180,""))),IF(OR(S27="Critical",S27="High"),L27+30,IF(S27="Moderate",L27+90,IF(S27="Low",L27+180,""))))</f>
      </c>
      <c r="N27" s="21"/>
      <c r="O27" s="2"/>
      <c r="P27" s="21"/>
      <c r="Q27" s="2"/>
      <c r="R27" s="2"/>
      <c r="S27" s="2"/>
      <c r="T27" s="2"/>
      <c r="U27" s="2"/>
      <c r="V27" s="2"/>
      <c r="W27" s="2"/>
      <c r="X27" s="2"/>
      <c r="Y27" s="2"/>
      <c r="Z27" s="2"/>
      <c r="AA27" s="21"/>
      <c r="AB27" s="2"/>
    </row>
    <row r="28" ht="18.0" customHeight="1">
      <c r="A28" s="2"/>
      <c r="B28" s="2"/>
      <c r="C28" s="2"/>
      <c r="D28" s="2"/>
      <c r="E28" s="2"/>
      <c r="F28" s="2"/>
      <c r="G28" s="2"/>
      <c r="H28" s="2"/>
      <c r="I28" s="2"/>
      <c r="J28" s="2"/>
      <c r="K28" s="2"/>
      <c r="L28" s="21"/>
      <c r="M28" s="22">
        <f>IF(OR(S28="N/A",ISBLANK(S28),T28&lt;&gt;"Yes"),IF(OR(R28="Critical",R28="High"),L28+30,IF(R28="Moderate",L28+90,IF(R28="Low",L28+180,""))),IF(OR(S28="Critical",S28="High"),L28+30,IF(S28="Moderate",L28+90,IF(S28="Low",L28+180,""))))</f>
      </c>
      <c r="N28" s="21"/>
      <c r="O28" s="2"/>
      <c r="P28" s="21"/>
      <c r="Q28" s="2"/>
      <c r="R28" s="2"/>
      <c r="S28" s="2"/>
      <c r="T28" s="2"/>
      <c r="U28" s="2"/>
      <c r="V28" s="2"/>
      <c r="W28" s="2"/>
      <c r="X28" s="2"/>
      <c r="Y28" s="2"/>
      <c r="Z28" s="2"/>
      <c r="AA28" s="21"/>
      <c r="AB28" s="2"/>
    </row>
    <row r="29" ht="18.0" customHeight="1">
      <c r="A29" s="2"/>
      <c r="B29" s="2"/>
      <c r="C29" s="2"/>
      <c r="D29" s="2"/>
      <c r="E29" s="2"/>
      <c r="F29" s="2"/>
      <c r="G29" s="2"/>
      <c r="H29" s="2"/>
      <c r="I29" s="2"/>
      <c r="J29" s="2"/>
      <c r="K29" s="2"/>
      <c r="L29" s="21"/>
      <c r="M29" s="22">
        <f>IF(OR(S29="N/A",ISBLANK(S29),T29&lt;&gt;"Yes"),IF(OR(R29="Critical",R29="High"),L29+30,IF(R29="Moderate",L29+90,IF(R29="Low",L29+180,""))),IF(OR(S29="Critical",S29="High"),L29+30,IF(S29="Moderate",L29+90,IF(S29="Low",L29+180,""))))</f>
      </c>
      <c r="N29" s="21"/>
      <c r="O29" s="2"/>
      <c r="P29" s="21"/>
      <c r="Q29" s="2"/>
      <c r="R29" s="2"/>
      <c r="S29" s="2"/>
      <c r="T29" s="2"/>
      <c r="U29" s="2"/>
      <c r="V29" s="2"/>
      <c r="W29" s="2"/>
      <c r="X29" s="2"/>
      <c r="Y29" s="2"/>
      <c r="Z29" s="2"/>
      <c r="AA29" s="21"/>
      <c r="AB29" s="2"/>
    </row>
    <row r="30" ht="18.0" customHeight="1">
      <c r="A30" s="2"/>
      <c r="B30" s="2"/>
      <c r="C30" s="2"/>
      <c r="D30" s="2"/>
      <c r="E30" s="2"/>
      <c r="F30" s="2"/>
      <c r="G30" s="2"/>
      <c r="H30" s="2"/>
      <c r="I30" s="2"/>
      <c r="J30" s="2"/>
      <c r="K30" s="2"/>
      <c r="L30" s="21"/>
      <c r="M30" s="22">
        <f>IF(OR(S30="N/A",ISBLANK(S30),T30&lt;&gt;"Yes"),IF(OR(R30="Critical",R30="High"),L30+30,IF(R30="Moderate",L30+90,IF(R30="Low",L30+180,""))),IF(OR(S30="Critical",S30="High"),L30+30,IF(S30="Moderate",L30+90,IF(S30="Low",L30+180,""))))</f>
      </c>
      <c r="N30" s="21"/>
      <c r="O30" s="2"/>
      <c r="P30" s="21"/>
      <c r="Q30" s="2"/>
      <c r="R30" s="2"/>
      <c r="S30" s="2"/>
      <c r="T30" s="2"/>
      <c r="U30" s="2"/>
      <c r="V30" s="2"/>
      <c r="W30" s="2"/>
      <c r="X30" s="2"/>
      <c r="Y30" s="2"/>
      <c r="Z30" s="2"/>
      <c r="AA30" s="21"/>
      <c r="AB30" s="2"/>
    </row>
    <row r="31" ht="18.0" customHeight="1">
      <c r="A31" s="2"/>
      <c r="B31" s="2"/>
      <c r="C31" s="2"/>
      <c r="D31" s="2"/>
      <c r="E31" s="2"/>
      <c r="F31" s="2"/>
      <c r="G31" s="2"/>
      <c r="H31" s="2"/>
      <c r="I31" s="2"/>
      <c r="J31" s="2"/>
      <c r="K31" s="2"/>
      <c r="L31" s="21"/>
      <c r="M31" s="22">
        <f>IF(OR(S31="N/A",ISBLANK(S31),T31&lt;&gt;"Yes"),IF(OR(R31="Critical",R31="High"),L31+30,IF(R31="Moderate",L31+90,IF(R31="Low",L31+180,""))),IF(OR(S31="Critical",S31="High"),L31+30,IF(S31="Moderate",L31+90,IF(S31="Low",L31+180,""))))</f>
      </c>
      <c r="N31" s="21"/>
      <c r="O31" s="2"/>
      <c r="P31" s="21"/>
      <c r="Q31" s="2"/>
      <c r="R31" s="2"/>
      <c r="S31" s="2"/>
      <c r="T31" s="2"/>
      <c r="U31" s="2"/>
      <c r="V31" s="2"/>
      <c r="W31" s="2"/>
      <c r="X31" s="2"/>
      <c r="Y31" s="2"/>
      <c r="Z31" s="2"/>
      <c r="AA31" s="21"/>
      <c r="AB31" s="2"/>
    </row>
    <row r="32" ht="18.0" customHeight="1">
      <c r="A32" s="2"/>
      <c r="B32" s="2"/>
      <c r="C32" s="2"/>
      <c r="D32" s="2"/>
      <c r="E32" s="2"/>
      <c r="F32" s="2"/>
      <c r="G32" s="2"/>
      <c r="H32" s="2"/>
      <c r="I32" s="2"/>
      <c r="J32" s="2"/>
      <c r="K32" s="2"/>
      <c r="L32" s="21"/>
      <c r="M32" s="22">
        <f>IF(OR(S32="N/A",ISBLANK(S32),T32&lt;&gt;"Yes"),IF(OR(R32="Critical",R32="High"),L32+30,IF(R32="Moderate",L32+90,IF(R32="Low",L32+180,""))),IF(OR(S32="Critical",S32="High"),L32+30,IF(S32="Moderate",L32+90,IF(S32="Low",L32+180,""))))</f>
      </c>
      <c r="N32" s="21"/>
      <c r="O32" s="2"/>
      <c r="P32" s="21"/>
      <c r="Q32" s="2"/>
      <c r="R32" s="2"/>
      <c r="S32" s="2"/>
      <c r="T32" s="2"/>
      <c r="U32" s="2"/>
      <c r="V32" s="2"/>
      <c r="W32" s="2"/>
      <c r="X32" s="2"/>
      <c r="Y32" s="2"/>
      <c r="Z32" s="2"/>
      <c r="AA32" s="21"/>
      <c r="AB32" s="2"/>
    </row>
    <row r="33" ht="18.0" customHeight="1">
      <c r="A33" s="2"/>
      <c r="B33" s="2"/>
      <c r="C33" s="2"/>
      <c r="D33" s="2"/>
      <c r="E33" s="2"/>
      <c r="F33" s="2"/>
      <c r="G33" s="2"/>
      <c r="H33" s="2"/>
      <c r="I33" s="2"/>
      <c r="J33" s="2"/>
      <c r="K33" s="2"/>
      <c r="L33" s="21"/>
      <c r="M33" s="22">
        <f>IF(OR(S33="N/A",ISBLANK(S33),T33&lt;&gt;"Yes"),IF(OR(R33="Critical",R33="High"),L33+30,IF(R33="Moderate",L33+90,IF(R33="Low",L33+180,""))),IF(OR(S33="Critical",S33="High"),L33+30,IF(S33="Moderate",L33+90,IF(S33="Low",L33+180,""))))</f>
      </c>
      <c r="N33" s="21"/>
      <c r="O33" s="2"/>
      <c r="P33" s="21"/>
      <c r="Q33" s="2"/>
      <c r="R33" s="2"/>
      <c r="S33" s="2"/>
      <c r="T33" s="2"/>
      <c r="U33" s="2"/>
      <c r="V33" s="2"/>
      <c r="W33" s="2"/>
      <c r="X33" s="2"/>
      <c r="Y33" s="2"/>
      <c r="Z33" s="2"/>
      <c r="AA33" s="21"/>
      <c r="AB33" s="2"/>
    </row>
    <row r="34" ht="18.0" customHeight="1">
      <c r="A34" s="2"/>
      <c r="B34" s="2"/>
      <c r="C34" s="2"/>
      <c r="D34" s="2"/>
      <c r="E34" s="2"/>
      <c r="F34" s="2"/>
      <c r="G34" s="2"/>
      <c r="H34" s="2"/>
      <c r="I34" s="2"/>
      <c r="J34" s="2"/>
      <c r="K34" s="2"/>
      <c r="L34" s="21"/>
      <c r="M34" s="22">
        <f>IF(OR(S34="N/A",ISBLANK(S34),T34&lt;&gt;"Yes"),IF(OR(R34="Critical",R34="High"),L34+30,IF(R34="Moderate",L34+90,IF(R34="Low",L34+180,""))),IF(OR(S34="Critical",S34="High"),L34+30,IF(S34="Moderate",L34+90,IF(S34="Low",L34+180,""))))</f>
      </c>
      <c r="N34" s="21"/>
      <c r="O34" s="2"/>
      <c r="P34" s="21"/>
      <c r="Q34" s="2"/>
      <c r="R34" s="2"/>
      <c r="S34" s="2"/>
      <c r="T34" s="2"/>
      <c r="U34" s="2"/>
      <c r="V34" s="2"/>
      <c r="W34" s="2"/>
      <c r="X34" s="2"/>
      <c r="Y34" s="2"/>
      <c r="Z34" s="2"/>
      <c r="AA34" s="21"/>
      <c r="AB34" s="2"/>
    </row>
    <row r="35" ht="18.0" customHeight="1">
      <c r="A35" s="2"/>
      <c r="B35" s="2"/>
      <c r="C35" s="2"/>
      <c r="D35" s="2"/>
      <c r="E35" s="2"/>
      <c r="F35" s="2"/>
      <c r="G35" s="2"/>
      <c r="H35" s="2"/>
      <c r="I35" s="2"/>
      <c r="J35" s="2"/>
      <c r="K35" s="2"/>
      <c r="L35" s="21"/>
      <c r="M35" s="22">
        <f>IF(OR(S35="N/A",ISBLANK(S35),T35&lt;&gt;"Yes"),IF(OR(R35="Critical",R35="High"),L35+30,IF(R35="Moderate",L35+90,IF(R35="Low",L35+180,""))),IF(OR(S35="Critical",S35="High"),L35+30,IF(S35="Moderate",L35+90,IF(S35="Low",L35+180,""))))</f>
      </c>
      <c r="N35" s="21"/>
      <c r="O35" s="2"/>
      <c r="P35" s="21"/>
      <c r="Q35" s="2"/>
      <c r="R35" s="2"/>
      <c r="S35" s="2"/>
      <c r="T35" s="2"/>
      <c r="U35" s="2"/>
      <c r="V35" s="2"/>
      <c r="W35" s="2"/>
      <c r="X35" s="2"/>
      <c r="Y35" s="2"/>
      <c r="Z35" s="2"/>
      <c r="AA35" s="21"/>
      <c r="AB35" s="2"/>
    </row>
    <row r="36" ht="18.0" customHeight="1">
      <c r="A36" s="2"/>
      <c r="B36" s="2"/>
      <c r="C36" s="2"/>
      <c r="D36" s="2"/>
      <c r="E36" s="2"/>
      <c r="F36" s="2"/>
      <c r="G36" s="2"/>
      <c r="H36" s="2"/>
      <c r="I36" s="2"/>
      <c r="J36" s="2"/>
      <c r="K36" s="2"/>
      <c r="L36" s="21"/>
      <c r="M36" s="22">
        <f>IF(OR(S36="N/A",ISBLANK(S36),T36&lt;&gt;"Yes"),IF(OR(R36="Critical",R36="High"),L36+30,IF(R36="Moderate",L36+90,IF(R36="Low",L36+180,""))),IF(OR(S36="Critical",S36="High"),L36+30,IF(S36="Moderate",L36+90,IF(S36="Low",L36+180,""))))</f>
      </c>
      <c r="N36" s="21"/>
      <c r="O36" s="2"/>
      <c r="P36" s="21"/>
      <c r="Q36" s="2"/>
      <c r="R36" s="2"/>
      <c r="S36" s="2"/>
      <c r="T36" s="2"/>
      <c r="U36" s="2"/>
      <c r="V36" s="2"/>
      <c r="W36" s="2"/>
      <c r="X36" s="2"/>
      <c r="Y36" s="2"/>
      <c r="Z36" s="2"/>
      <c r="AA36" s="21"/>
      <c r="AB36" s="2"/>
    </row>
    <row r="37" ht="18.0" customHeight="1">
      <c r="A37" s="2"/>
      <c r="B37" s="2"/>
      <c r="C37" s="2"/>
      <c r="D37" s="2"/>
      <c r="E37" s="2"/>
      <c r="F37" s="2"/>
      <c r="G37" s="2"/>
      <c r="H37" s="2"/>
      <c r="I37" s="2"/>
      <c r="J37" s="2"/>
      <c r="K37" s="2"/>
      <c r="L37" s="21"/>
      <c r="M37" s="22">
        <f>IF(OR(S37="N/A",ISBLANK(S37),T37&lt;&gt;"Yes"),IF(OR(R37="Critical",R37="High"),L37+30,IF(R37="Moderate",L37+90,IF(R37="Low",L37+180,""))),IF(OR(S37="Critical",S37="High"),L37+30,IF(S37="Moderate",L37+90,IF(S37="Low",L37+180,""))))</f>
      </c>
      <c r="N37" s="21"/>
      <c r="O37" s="2"/>
      <c r="P37" s="21"/>
      <c r="Q37" s="2"/>
      <c r="R37" s="2"/>
      <c r="S37" s="2"/>
      <c r="T37" s="2"/>
      <c r="U37" s="2"/>
      <c r="V37" s="2"/>
      <c r="W37" s="2"/>
      <c r="X37" s="2"/>
      <c r="Y37" s="2"/>
      <c r="Z37" s="2"/>
      <c r="AA37" s="21"/>
      <c r="AB37" s="2"/>
    </row>
    <row r="38" ht="18.0" customHeight="1">
      <c r="A38" s="2"/>
      <c r="B38" s="2"/>
      <c r="C38" s="2"/>
      <c r="D38" s="2"/>
      <c r="E38" s="2"/>
      <c r="F38" s="2"/>
      <c r="G38" s="2"/>
      <c r="H38" s="2"/>
      <c r="I38" s="2"/>
      <c r="J38" s="2"/>
      <c r="K38" s="2"/>
      <c r="L38" s="21"/>
      <c r="M38" s="22">
        <f>IF(OR(S38="N/A",ISBLANK(S38),T38&lt;&gt;"Yes"),IF(OR(R38="Critical",R38="High"),L38+30,IF(R38="Moderate",L38+90,IF(R38="Low",L38+180,""))),IF(OR(S38="Critical",S38="High"),L38+30,IF(S38="Moderate",L38+90,IF(S38="Low",L38+180,""))))</f>
      </c>
      <c r="N38" s="21"/>
      <c r="O38" s="2"/>
      <c r="P38" s="21"/>
      <c r="Q38" s="2"/>
      <c r="R38" s="2"/>
      <c r="S38" s="2"/>
      <c r="T38" s="2"/>
      <c r="U38" s="2"/>
      <c r="V38" s="2"/>
      <c r="W38" s="2"/>
      <c r="X38" s="2"/>
      <c r="Y38" s="2"/>
      <c r="Z38" s="2"/>
      <c r="AA38" s="21"/>
      <c r="AB38" s="2"/>
    </row>
    <row r="39" ht="18.0" customHeight="1">
      <c r="A39" s="2"/>
      <c r="B39" s="2"/>
      <c r="C39" s="2"/>
      <c r="D39" s="2"/>
      <c r="E39" s="2"/>
      <c r="F39" s="2"/>
      <c r="G39" s="2"/>
      <c r="H39" s="2"/>
      <c r="I39" s="2"/>
      <c r="J39" s="2"/>
      <c r="K39" s="2"/>
      <c r="L39" s="21"/>
      <c r="M39" s="22">
        <f>IF(OR(S39="N/A",ISBLANK(S39),T39&lt;&gt;"Yes"),IF(OR(R39="Critical",R39="High"),L39+30,IF(R39="Moderate",L39+90,IF(R39="Low",L39+180,""))),IF(OR(S39="Critical",S39="High"),L39+30,IF(S39="Moderate",L39+90,IF(S39="Low",L39+180,""))))</f>
      </c>
      <c r="N39" s="21"/>
      <c r="O39" s="2"/>
      <c r="P39" s="21"/>
      <c r="Q39" s="2"/>
      <c r="R39" s="2"/>
      <c r="S39" s="2"/>
      <c r="T39" s="2"/>
      <c r="U39" s="2"/>
      <c r="V39" s="2"/>
      <c r="W39" s="2"/>
      <c r="X39" s="2"/>
      <c r="Y39" s="2"/>
      <c r="Z39" s="2"/>
      <c r="AA39" s="21"/>
      <c r="AB39" s="2"/>
    </row>
    <row r="40" ht="18.0" customHeight="1">
      <c r="A40" s="2"/>
      <c r="B40" s="2"/>
      <c r="C40" s="2"/>
      <c r="D40" s="2"/>
      <c r="E40" s="2"/>
      <c r="F40" s="2"/>
      <c r="G40" s="2"/>
      <c r="H40" s="2"/>
      <c r="I40" s="2"/>
      <c r="J40" s="2"/>
      <c r="K40" s="2"/>
      <c r="L40" s="21"/>
      <c r="M40" s="22">
        <f>IF(OR(S40="N/A",ISBLANK(S40),T40&lt;&gt;"Yes"),IF(OR(R40="Critical",R40="High"),L40+30,IF(R40="Moderate",L40+90,IF(R40="Low",L40+180,""))),IF(OR(S40="Critical",S40="High"),L40+30,IF(S40="Moderate",L40+90,IF(S40="Low",L40+180,""))))</f>
      </c>
      <c r="N40" s="21"/>
      <c r="O40" s="2"/>
      <c r="P40" s="21"/>
      <c r="Q40" s="2"/>
      <c r="R40" s="2"/>
      <c r="S40" s="2"/>
      <c r="T40" s="2"/>
      <c r="U40" s="2"/>
      <c r="V40" s="2"/>
      <c r="W40" s="2"/>
      <c r="X40" s="2"/>
      <c r="Y40" s="2"/>
      <c r="Z40" s="2"/>
      <c r="AA40" s="21"/>
      <c r="AB40" s="2"/>
    </row>
    <row r="41" ht="18.0" customHeight="1">
      <c r="A41" s="2"/>
      <c r="B41" s="2"/>
      <c r="C41" s="2"/>
      <c r="D41" s="2"/>
      <c r="E41" s="2"/>
      <c r="F41" s="2"/>
      <c r="G41" s="2"/>
      <c r="H41" s="2"/>
      <c r="I41" s="2"/>
      <c r="J41" s="2"/>
      <c r="K41" s="2"/>
      <c r="L41" s="21"/>
      <c r="M41" s="22">
        <f>IF(OR(S41="N/A",ISBLANK(S41),T41&lt;&gt;"Yes"),IF(OR(R41="Critical",R41="High"),L41+30,IF(R41="Moderate",L41+90,IF(R41="Low",L41+180,""))),IF(OR(S41="Critical",S41="High"),L41+30,IF(S41="Moderate",L41+90,IF(S41="Low",L41+180,""))))</f>
      </c>
      <c r="N41" s="21"/>
      <c r="O41" s="2"/>
      <c r="P41" s="21"/>
      <c r="Q41" s="2"/>
      <c r="R41" s="2"/>
      <c r="S41" s="2"/>
      <c r="T41" s="2"/>
      <c r="U41" s="2"/>
      <c r="V41" s="2"/>
      <c r="W41" s="2"/>
      <c r="X41" s="2"/>
      <c r="Y41" s="2"/>
      <c r="Z41" s="2"/>
      <c r="AA41" s="21"/>
      <c r="AB41" s="2"/>
    </row>
    <row r="42" ht="18.0" customHeight="1">
      <c r="A42" s="2"/>
      <c r="B42" s="2"/>
      <c r="C42" s="2"/>
      <c r="D42" s="2"/>
      <c r="E42" s="2"/>
      <c r="F42" s="2"/>
      <c r="G42" s="2"/>
      <c r="H42" s="2"/>
      <c r="I42" s="2"/>
      <c r="J42" s="2"/>
      <c r="K42" s="2"/>
      <c r="L42" s="21"/>
      <c r="M42" s="22">
        <f>IF(OR(S42="N/A",ISBLANK(S42),T42&lt;&gt;"Yes"),IF(OR(R42="Critical",R42="High"),L42+30,IF(R42="Moderate",L42+90,IF(R42="Low",L42+180,""))),IF(OR(S42="Critical",S42="High"),L42+30,IF(S42="Moderate",L42+90,IF(S42="Low",L42+180,""))))</f>
      </c>
      <c r="N42" s="21"/>
      <c r="O42" s="2"/>
      <c r="P42" s="21"/>
      <c r="Q42" s="2"/>
      <c r="R42" s="2"/>
      <c r="S42" s="2"/>
      <c r="T42" s="2"/>
      <c r="U42" s="2"/>
      <c r="V42" s="2"/>
      <c r="W42" s="2"/>
      <c r="X42" s="2"/>
      <c r="Y42" s="2"/>
      <c r="Z42" s="2"/>
      <c r="AA42" s="21"/>
      <c r="AB42" s="2"/>
    </row>
    <row r="43" ht="18.0" customHeight="1">
      <c r="A43" s="2"/>
      <c r="B43" s="2"/>
      <c r="C43" s="2"/>
      <c r="D43" s="2"/>
      <c r="E43" s="2"/>
      <c r="F43" s="2"/>
      <c r="G43" s="2"/>
      <c r="H43" s="2"/>
      <c r="I43" s="2"/>
      <c r="J43" s="2"/>
      <c r="K43" s="2"/>
      <c r="L43" s="21"/>
      <c r="M43" s="22">
        <f>IF(OR(S43="N/A",ISBLANK(S43),T43&lt;&gt;"Yes"),IF(OR(R43="Critical",R43="High"),L43+30,IF(R43="Moderate",L43+90,IF(R43="Low",L43+180,""))),IF(OR(S43="Critical",S43="High"),L43+30,IF(S43="Moderate",L43+90,IF(S43="Low",L43+180,""))))</f>
      </c>
      <c r="N43" s="21"/>
      <c r="O43" s="2"/>
      <c r="P43" s="21"/>
      <c r="Q43" s="2"/>
      <c r="R43" s="2"/>
      <c r="S43" s="2"/>
      <c r="T43" s="2"/>
      <c r="U43" s="2"/>
      <c r="V43" s="2"/>
      <c r="W43" s="2"/>
      <c r="X43" s="2"/>
      <c r="Y43" s="2"/>
      <c r="Z43" s="2"/>
      <c r="AA43" s="21"/>
      <c r="AB43" s="2"/>
    </row>
    <row r="44" ht="18.0" customHeight="1">
      <c r="A44" s="2"/>
      <c r="B44" s="2"/>
      <c r="C44" s="2"/>
      <c r="D44" s="2"/>
      <c r="E44" s="2"/>
      <c r="F44" s="2"/>
      <c r="G44" s="2"/>
      <c r="H44" s="2"/>
      <c r="I44" s="2"/>
      <c r="J44" s="2"/>
      <c r="K44" s="2"/>
      <c r="L44" s="21"/>
      <c r="M44" s="22">
        <f>IF(OR(S44="N/A",ISBLANK(S44),T44&lt;&gt;"Yes"),IF(OR(R44="Critical",R44="High"),L44+30,IF(R44="Moderate",L44+90,IF(R44="Low",L44+180,""))),IF(OR(S44="Critical",S44="High"),L44+30,IF(S44="Moderate",L44+90,IF(S44="Low",L44+180,""))))</f>
      </c>
      <c r="N44" s="21"/>
      <c r="O44" s="2"/>
      <c r="P44" s="21"/>
      <c r="Q44" s="2"/>
      <c r="R44" s="2"/>
      <c r="S44" s="2"/>
      <c r="T44" s="2"/>
      <c r="U44" s="2"/>
      <c r="V44" s="2"/>
      <c r="W44" s="2"/>
      <c r="X44" s="2"/>
      <c r="Y44" s="2"/>
      <c r="Z44" s="2"/>
      <c r="AA44" s="21"/>
      <c r="AB44" s="2"/>
    </row>
    <row r="45" ht="18.0" customHeight="1">
      <c r="A45" s="2"/>
      <c r="B45" s="2"/>
      <c r="C45" s="2"/>
      <c r="D45" s="2"/>
      <c r="E45" s="2"/>
      <c r="F45" s="2"/>
      <c r="G45" s="2"/>
      <c r="H45" s="2"/>
      <c r="I45" s="2"/>
      <c r="J45" s="2"/>
      <c r="K45" s="2"/>
      <c r="L45" s="21"/>
      <c r="M45" s="22">
        <f>IF(OR(S45="N/A",ISBLANK(S45),T45&lt;&gt;"Yes"),IF(OR(R45="Critical",R45="High"),L45+30,IF(R45="Moderate",L45+90,IF(R45="Low",L45+180,""))),IF(OR(S45="Critical",S45="High"),L45+30,IF(S45="Moderate",L45+90,IF(S45="Low",L45+180,""))))</f>
      </c>
      <c r="N45" s="21"/>
      <c r="O45" s="2"/>
      <c r="P45" s="21"/>
      <c r="Q45" s="2"/>
      <c r="R45" s="2"/>
      <c r="S45" s="2"/>
      <c r="T45" s="2"/>
      <c r="U45" s="2"/>
      <c r="V45" s="2"/>
      <c r="W45" s="2"/>
      <c r="X45" s="2"/>
      <c r="Y45" s="2"/>
      <c r="Z45" s="2"/>
      <c r="AA45" s="21"/>
      <c r="AB45" s="2"/>
    </row>
    <row r="46" ht="18.0" customHeight="1">
      <c r="A46" s="2"/>
      <c r="B46" s="2"/>
      <c r="C46" s="2"/>
      <c r="D46" s="2"/>
      <c r="E46" s="2"/>
      <c r="F46" s="2"/>
      <c r="G46" s="2"/>
      <c r="H46" s="2"/>
      <c r="I46" s="2"/>
      <c r="J46" s="2"/>
      <c r="K46" s="2"/>
      <c r="L46" s="21"/>
      <c r="M46" s="22">
        <f>IF(OR(S46="N/A",ISBLANK(S46),T46&lt;&gt;"Yes"),IF(OR(R46="Critical",R46="High"),L46+30,IF(R46="Moderate",L46+90,IF(R46="Low",L46+180,""))),IF(OR(S46="Critical",S46="High"),L46+30,IF(S46="Moderate",L46+90,IF(S46="Low",L46+180,""))))</f>
      </c>
      <c r="N46" s="21"/>
      <c r="O46" s="2"/>
      <c r="P46" s="21"/>
      <c r="Q46" s="2"/>
      <c r="R46" s="2"/>
      <c r="S46" s="2"/>
      <c r="T46" s="2"/>
      <c r="U46" s="2"/>
      <c r="V46" s="2"/>
      <c r="W46" s="2"/>
      <c r="X46" s="2"/>
      <c r="Y46" s="2"/>
      <c r="Z46" s="2"/>
      <c r="AA46" s="21"/>
      <c r="AB46" s="2"/>
    </row>
    <row r="47" ht="18.0" customHeight="1">
      <c r="A47" s="2"/>
      <c r="B47" s="2"/>
      <c r="C47" s="2"/>
      <c r="D47" s="2"/>
      <c r="E47" s="2"/>
      <c r="F47" s="2"/>
      <c r="G47" s="2"/>
      <c r="H47" s="2"/>
      <c r="I47" s="2"/>
      <c r="J47" s="2"/>
      <c r="K47" s="2"/>
      <c r="L47" s="21"/>
      <c r="M47" s="22">
        <f>IF(OR(S47="N/A",ISBLANK(S47),T47&lt;&gt;"Yes"),IF(OR(R47="Critical",R47="High"),L47+30,IF(R47="Moderate",L47+90,IF(R47="Low",L47+180,""))),IF(OR(S47="Critical",S47="High"),L47+30,IF(S47="Moderate",L47+90,IF(S47="Low",L47+180,""))))</f>
      </c>
      <c r="N47" s="21"/>
      <c r="O47" s="2"/>
      <c r="P47" s="21"/>
      <c r="Q47" s="2"/>
      <c r="R47" s="2"/>
      <c r="S47" s="2"/>
      <c r="T47" s="2"/>
      <c r="U47" s="2"/>
      <c r="V47" s="2"/>
      <c r="W47" s="2"/>
      <c r="X47" s="2"/>
      <c r="Y47" s="2"/>
      <c r="Z47" s="2"/>
      <c r="AA47" s="21"/>
      <c r="AB47" s="2"/>
    </row>
    <row r="48" ht="18.0" customHeight="1">
      <c r="A48" s="2"/>
      <c r="B48" s="2"/>
      <c r="C48" s="2"/>
      <c r="D48" s="2"/>
      <c r="E48" s="2"/>
      <c r="F48" s="2"/>
      <c r="G48" s="2"/>
      <c r="H48" s="2"/>
      <c r="I48" s="2"/>
      <c r="J48" s="2"/>
      <c r="K48" s="2"/>
      <c r="L48" s="21"/>
      <c r="M48" s="22">
        <f>IF(OR(S48="N/A",ISBLANK(S48),T48&lt;&gt;"Yes"),IF(OR(R48="Critical",R48="High"),L48+30,IF(R48="Moderate",L48+90,IF(R48="Low",L48+180,""))),IF(OR(S48="Critical",S48="High"),L48+30,IF(S48="Moderate",L48+90,IF(S48="Low",L48+180,""))))</f>
      </c>
      <c r="N48" s="21"/>
      <c r="O48" s="2"/>
      <c r="P48" s="21"/>
      <c r="Q48" s="2"/>
      <c r="R48" s="2"/>
      <c r="S48" s="2"/>
      <c r="T48" s="2"/>
      <c r="U48" s="2"/>
      <c r="V48" s="2"/>
      <c r="W48" s="2"/>
      <c r="X48" s="2"/>
      <c r="Y48" s="2"/>
      <c r="Z48" s="2"/>
      <c r="AA48" s="21"/>
      <c r="AB48" s="2"/>
    </row>
    <row r="49" ht="18.0" customHeight="1">
      <c r="A49" s="2"/>
      <c r="B49" s="2"/>
      <c r="C49" s="2"/>
      <c r="D49" s="2"/>
      <c r="E49" s="2"/>
      <c r="F49" s="2"/>
      <c r="G49" s="2"/>
      <c r="H49" s="2"/>
      <c r="I49" s="2"/>
      <c r="J49" s="2"/>
      <c r="K49" s="2"/>
      <c r="L49" s="21"/>
      <c r="M49" s="22">
        <f>IF(OR(S49="N/A",ISBLANK(S49),T49&lt;&gt;"Yes"),IF(OR(R49="Critical",R49="High"),L49+30,IF(R49="Moderate",L49+90,IF(R49="Low",L49+180,""))),IF(OR(S49="Critical",S49="High"),L49+30,IF(S49="Moderate",L49+90,IF(S49="Low",L49+180,""))))</f>
      </c>
      <c r="N49" s="21"/>
      <c r="O49" s="2"/>
      <c r="P49" s="21"/>
      <c r="Q49" s="2"/>
      <c r="R49" s="2"/>
      <c r="S49" s="2"/>
      <c r="T49" s="2"/>
      <c r="U49" s="2"/>
      <c r="V49" s="2"/>
      <c r="W49" s="2"/>
      <c r="X49" s="2"/>
      <c r="Y49" s="2"/>
      <c r="Z49" s="2"/>
      <c r="AA49" s="21"/>
      <c r="AB49" s="2"/>
    </row>
    <row r="50" ht="18.0" customHeight="1">
      <c r="A50" s="2"/>
      <c r="B50" s="2"/>
      <c r="C50" s="2"/>
      <c r="D50" s="2"/>
      <c r="E50" s="2"/>
      <c r="F50" s="2"/>
      <c r="G50" s="2"/>
      <c r="H50" s="2"/>
      <c r="I50" s="2"/>
      <c r="J50" s="2"/>
      <c r="K50" s="2"/>
      <c r="L50" s="21"/>
      <c r="M50" s="22">
        <f>IF(OR(S50="N/A",ISBLANK(S50),T50&lt;&gt;"Yes"),IF(OR(R50="Critical",R50="High"),L50+30,IF(R50="Moderate",L50+90,IF(R50="Low",L50+180,""))),IF(OR(S50="Critical",S50="High"),L50+30,IF(S50="Moderate",L50+90,IF(S50="Low",L50+180,""))))</f>
      </c>
      <c r="N50" s="21"/>
      <c r="O50" s="2"/>
      <c r="P50" s="21"/>
      <c r="Q50" s="2"/>
      <c r="R50" s="2"/>
      <c r="S50" s="2"/>
      <c r="T50" s="2"/>
      <c r="U50" s="2"/>
      <c r="V50" s="2"/>
      <c r="W50" s="2"/>
      <c r="X50" s="2"/>
      <c r="Y50" s="2"/>
      <c r="Z50" s="2"/>
      <c r="AA50" s="21"/>
      <c r="AB50" s="2"/>
    </row>
    <row r="51" ht="18.0" customHeight="1">
      <c r="A51" s="2"/>
      <c r="B51" s="2"/>
      <c r="C51" s="2"/>
      <c r="D51" s="2"/>
      <c r="E51" s="2"/>
      <c r="F51" s="2"/>
      <c r="G51" s="2"/>
      <c r="H51" s="2"/>
      <c r="I51" s="2"/>
      <c r="J51" s="2"/>
      <c r="K51" s="2"/>
      <c r="L51" s="21"/>
      <c r="M51" s="22">
        <f>IF(OR(S51="N/A",ISBLANK(S51),T51&lt;&gt;"Yes"),IF(OR(R51="Critical",R51="High"),L51+30,IF(R51="Moderate",L51+90,IF(R51="Low",L51+180,""))),IF(OR(S51="Critical",S51="High"),L51+30,IF(S51="Moderate",L51+90,IF(S51="Low",L51+180,""))))</f>
      </c>
      <c r="N51" s="21"/>
      <c r="O51" s="2"/>
      <c r="P51" s="21"/>
      <c r="Q51" s="2"/>
      <c r="R51" s="2"/>
      <c r="S51" s="2"/>
      <c r="T51" s="2"/>
      <c r="U51" s="2"/>
      <c r="V51" s="2"/>
      <c r="W51" s="2"/>
      <c r="X51" s="2"/>
      <c r="Y51" s="2"/>
      <c r="Z51" s="2"/>
      <c r="AA51" s="21"/>
      <c r="AB51" s="2"/>
    </row>
    <row r="52" ht="18.0" customHeight="1">
      <c r="A52" s="2"/>
      <c r="B52" s="2"/>
      <c r="C52" s="2"/>
      <c r="D52" s="2"/>
      <c r="E52" s="2"/>
      <c r="F52" s="2"/>
      <c r="G52" s="2"/>
      <c r="H52" s="2"/>
      <c r="I52" s="2"/>
      <c r="J52" s="2"/>
      <c r="K52" s="2"/>
      <c r="L52" s="21"/>
      <c r="M52" s="22">
        <f>IF(OR(S52="N/A",ISBLANK(S52),T52&lt;&gt;"Yes"),IF(OR(R52="Critical",R52="High"),L52+30,IF(R52="Moderate",L52+90,IF(R52="Low",L52+180,""))),IF(OR(S52="Critical",S52="High"),L52+30,IF(S52="Moderate",L52+90,IF(S52="Low",L52+180,""))))</f>
      </c>
      <c r="N52" s="21"/>
      <c r="O52" s="2"/>
      <c r="P52" s="21"/>
      <c r="Q52" s="2"/>
      <c r="R52" s="2"/>
      <c r="S52" s="2"/>
      <c r="T52" s="2"/>
      <c r="U52" s="2"/>
      <c r="V52" s="2"/>
      <c r="W52" s="2"/>
      <c r="X52" s="2"/>
      <c r="Y52" s="2"/>
      <c r="Z52" s="2"/>
      <c r="AA52" s="21"/>
      <c r="AB52" s="2"/>
    </row>
    <row r="53" ht="18.0" customHeight="1">
      <c r="A53" s="2"/>
      <c r="B53" s="2"/>
      <c r="C53" s="2"/>
      <c r="D53" s="2"/>
      <c r="E53" s="2"/>
      <c r="F53" s="2"/>
      <c r="G53" s="2"/>
      <c r="H53" s="2"/>
      <c r="I53" s="2"/>
      <c r="J53" s="2"/>
      <c r="K53" s="2"/>
      <c r="L53" s="21"/>
      <c r="M53" s="22">
        <f>IF(OR(S53="N/A",ISBLANK(S53),T53&lt;&gt;"Yes"),IF(OR(R53="Critical",R53="High"),L53+30,IF(R53="Moderate",L53+90,IF(R53="Low",L53+180,""))),IF(OR(S53="Critical",S53="High"),L53+30,IF(S53="Moderate",L53+90,IF(S53="Low",L53+180,""))))</f>
      </c>
      <c r="N53" s="21"/>
      <c r="O53" s="2"/>
      <c r="P53" s="21"/>
      <c r="Q53" s="2"/>
      <c r="R53" s="2"/>
      <c r="S53" s="2"/>
      <c r="T53" s="2"/>
      <c r="U53" s="2"/>
      <c r="V53" s="2"/>
      <c r="W53" s="2"/>
      <c r="X53" s="2"/>
      <c r="Y53" s="2"/>
      <c r="Z53" s="2"/>
      <c r="AA53" s="21"/>
      <c r="AB53" s="2"/>
    </row>
    <row r="54" ht="18.0" customHeight="1">
      <c r="A54" s="2"/>
      <c r="B54" s="2"/>
      <c r="C54" s="2"/>
      <c r="D54" s="2"/>
      <c r="E54" s="2"/>
      <c r="F54" s="2"/>
      <c r="G54" s="2"/>
      <c r="H54" s="2"/>
      <c r="I54" s="2"/>
      <c r="J54" s="2"/>
      <c r="K54" s="2"/>
      <c r="L54" s="21"/>
      <c r="M54" s="22">
        <f>IF(OR(S54="N/A",ISBLANK(S54),T54&lt;&gt;"Yes"),IF(OR(R54="Critical",R54="High"),L54+30,IF(R54="Moderate",L54+90,IF(R54="Low",L54+180,""))),IF(OR(S54="Critical",S54="High"),L54+30,IF(S54="Moderate",L54+90,IF(S54="Low",L54+180,""))))</f>
      </c>
      <c r="N54" s="21"/>
      <c r="O54" s="2"/>
      <c r="P54" s="21"/>
      <c r="Q54" s="2"/>
      <c r="R54" s="2"/>
      <c r="S54" s="2"/>
      <c r="T54" s="2"/>
      <c r="U54" s="2"/>
      <c r="V54" s="2"/>
      <c r="W54" s="2"/>
      <c r="X54" s="2"/>
      <c r="Y54" s="2"/>
      <c r="Z54" s="2"/>
      <c r="AA54" s="21"/>
      <c r="AB54" s="2"/>
    </row>
    <row r="55" ht="18.0" customHeight="1">
      <c r="A55" s="2"/>
      <c r="B55" s="2"/>
      <c r="C55" s="2"/>
      <c r="D55" s="2"/>
      <c r="E55" s="2"/>
      <c r="F55" s="2"/>
      <c r="G55" s="2"/>
      <c r="H55" s="2"/>
      <c r="I55" s="2"/>
      <c r="J55" s="2"/>
      <c r="K55" s="2"/>
      <c r="L55" s="21"/>
      <c r="M55" s="22">
        <f>IF(OR(S55="N/A",ISBLANK(S55),T55&lt;&gt;"Yes"),IF(OR(R55="Critical",R55="High"),L55+30,IF(R55="Moderate",L55+90,IF(R55="Low",L55+180,""))),IF(OR(S55="Critical",S55="High"),L55+30,IF(S55="Moderate",L55+90,IF(S55="Low",L55+180,""))))</f>
      </c>
      <c r="N55" s="21"/>
      <c r="O55" s="2"/>
      <c r="P55" s="21"/>
      <c r="Q55" s="2"/>
      <c r="R55" s="2"/>
      <c r="S55" s="2"/>
      <c r="T55" s="2"/>
      <c r="U55" s="2"/>
      <c r="V55" s="2"/>
      <c r="W55" s="2"/>
      <c r="X55" s="2"/>
      <c r="Y55" s="2"/>
      <c r="Z55" s="2"/>
      <c r="AA55" s="21"/>
      <c r="AB55" s="2"/>
    </row>
    <row r="56" ht="18.0" customHeight="1">
      <c r="A56" s="2"/>
      <c r="B56" s="2"/>
      <c r="C56" s="2"/>
      <c r="D56" s="2"/>
      <c r="E56" s="2"/>
      <c r="F56" s="2"/>
      <c r="G56" s="2"/>
      <c r="H56" s="2"/>
      <c r="I56" s="2"/>
      <c r="J56" s="2"/>
      <c r="K56" s="2"/>
      <c r="L56" s="21"/>
      <c r="M56" s="22">
        <f>IF(OR(S56="N/A",ISBLANK(S56),T56&lt;&gt;"Yes"),IF(OR(R56="Critical",R56="High"),L56+30,IF(R56="Moderate",L56+90,IF(R56="Low",L56+180,""))),IF(OR(S56="Critical",S56="High"),L56+30,IF(S56="Moderate",L56+90,IF(S56="Low",L56+180,""))))</f>
      </c>
      <c r="N56" s="21"/>
      <c r="O56" s="2"/>
      <c r="P56" s="21"/>
      <c r="Q56" s="2"/>
      <c r="R56" s="2"/>
      <c r="S56" s="2"/>
      <c r="T56" s="2"/>
      <c r="U56" s="2"/>
      <c r="V56" s="2"/>
      <c r="W56" s="2"/>
      <c r="X56" s="2"/>
      <c r="Y56" s="2"/>
      <c r="Z56" s="2"/>
      <c r="AA56" s="21"/>
      <c r="AB56" s="2"/>
    </row>
    <row r="57" ht="18.0" customHeight="1">
      <c r="A57" s="2"/>
      <c r="B57" s="2"/>
      <c r="C57" s="2"/>
      <c r="D57" s="2"/>
      <c r="E57" s="2"/>
      <c r="F57" s="2"/>
      <c r="G57" s="2"/>
      <c r="H57" s="2"/>
      <c r="I57" s="2"/>
      <c r="J57" s="2"/>
      <c r="K57" s="2"/>
      <c r="L57" s="21"/>
      <c r="M57" s="22">
        <f>IF(OR(S57="N/A",ISBLANK(S57),T57&lt;&gt;"Yes"),IF(OR(R57="Critical",R57="High"),L57+30,IF(R57="Moderate",L57+90,IF(R57="Low",L57+180,""))),IF(OR(S57="Critical",S57="High"),L57+30,IF(S57="Moderate",L57+90,IF(S57="Low",L57+180,""))))</f>
      </c>
      <c r="N57" s="21"/>
      <c r="O57" s="2"/>
      <c r="P57" s="21"/>
      <c r="Q57" s="2"/>
      <c r="R57" s="2"/>
      <c r="S57" s="2"/>
      <c r="T57" s="2"/>
      <c r="U57" s="2"/>
      <c r="V57" s="2"/>
      <c r="W57" s="2"/>
      <c r="X57" s="2"/>
      <c r="Y57" s="2"/>
      <c r="Z57" s="2"/>
      <c r="AA57" s="21"/>
      <c r="AB57" s="2"/>
    </row>
    <row r="58" ht="18.0" customHeight="1">
      <c r="A58" s="2"/>
      <c r="B58" s="2"/>
      <c r="C58" s="2"/>
      <c r="D58" s="2"/>
      <c r="E58" s="2"/>
      <c r="F58" s="2"/>
      <c r="G58" s="2"/>
      <c r="H58" s="2"/>
      <c r="I58" s="2"/>
      <c r="J58" s="2"/>
      <c r="K58" s="2"/>
      <c r="L58" s="21"/>
      <c r="M58" s="22">
        <f>IF(OR(S58="N/A",ISBLANK(S58),T58&lt;&gt;"Yes"),IF(OR(R58="Critical",R58="High"),L58+30,IF(R58="Moderate",L58+90,IF(R58="Low",L58+180,""))),IF(OR(S58="Critical",S58="High"),L58+30,IF(S58="Moderate",L58+90,IF(S58="Low",L58+180,""))))</f>
      </c>
      <c r="N58" s="21"/>
      <c r="O58" s="2"/>
      <c r="P58" s="21"/>
      <c r="Q58" s="2"/>
      <c r="R58" s="2"/>
      <c r="S58" s="2"/>
      <c r="T58" s="2"/>
      <c r="U58" s="2"/>
      <c r="V58" s="2"/>
      <c r="W58" s="2"/>
      <c r="X58" s="2"/>
      <c r="Y58" s="2"/>
      <c r="Z58" s="2"/>
      <c r="AA58" s="21"/>
      <c r="AB58" s="2"/>
    </row>
    <row r="59" ht="18.0" customHeight="1">
      <c r="A59" s="2"/>
      <c r="B59" s="2"/>
      <c r="C59" s="2"/>
      <c r="D59" s="2"/>
      <c r="E59" s="2"/>
      <c r="F59" s="2"/>
      <c r="G59" s="2"/>
      <c r="H59" s="2"/>
      <c r="I59" s="2"/>
      <c r="J59" s="2"/>
      <c r="K59" s="2"/>
      <c r="L59" s="21"/>
      <c r="M59" s="22">
        <f>IF(OR(S59="N/A",ISBLANK(S59),T59&lt;&gt;"Yes"),IF(OR(R59="Critical",R59="High"),L59+30,IF(R59="Moderate",L59+90,IF(R59="Low",L59+180,""))),IF(OR(S59="Critical",S59="High"),L59+30,IF(S59="Moderate",L59+90,IF(S59="Low",L59+180,""))))</f>
      </c>
      <c r="N59" s="21"/>
      <c r="O59" s="2"/>
      <c r="P59" s="21"/>
      <c r="Q59" s="2"/>
      <c r="R59" s="2"/>
      <c r="S59" s="2"/>
      <c r="T59" s="2"/>
      <c r="U59" s="2"/>
      <c r="V59" s="2"/>
      <c r="W59" s="2"/>
      <c r="X59" s="2"/>
      <c r="Y59" s="2"/>
      <c r="Z59" s="2"/>
      <c r="AA59" s="21"/>
      <c r="AB59" s="2"/>
    </row>
    <row r="60" ht="18.0" customHeight="1">
      <c r="A60" s="2"/>
      <c r="B60" s="2"/>
      <c r="C60" s="2"/>
      <c r="D60" s="2"/>
      <c r="E60" s="2"/>
      <c r="F60" s="2"/>
      <c r="G60" s="2"/>
      <c r="H60" s="2"/>
      <c r="I60" s="2"/>
      <c r="J60" s="2"/>
      <c r="K60" s="2"/>
      <c r="L60" s="21"/>
      <c r="M60" s="22">
        <f>IF(OR(S60="N/A",ISBLANK(S60),T60&lt;&gt;"Yes"),IF(OR(R60="Critical",R60="High"),L60+30,IF(R60="Moderate",L60+90,IF(R60="Low",L60+180,""))),IF(OR(S60="Critical",S60="High"),L60+30,IF(S60="Moderate",L60+90,IF(S60="Low",L60+180,""))))</f>
      </c>
      <c r="N60" s="21"/>
      <c r="O60" s="2"/>
      <c r="P60" s="21"/>
      <c r="Q60" s="2"/>
      <c r="R60" s="2"/>
      <c r="S60" s="2"/>
      <c r="T60" s="2"/>
      <c r="U60" s="2"/>
      <c r="V60" s="2"/>
      <c r="W60" s="2"/>
      <c r="X60" s="2"/>
      <c r="Y60" s="2"/>
      <c r="Z60" s="2"/>
      <c r="AA60" s="21"/>
      <c r="AB60" s="2"/>
    </row>
    <row r="61" ht="18.0" customHeight="1">
      <c r="A61" s="2"/>
      <c r="B61" s="2"/>
      <c r="C61" s="2"/>
      <c r="D61" s="2"/>
      <c r="E61" s="2"/>
      <c r="F61" s="2"/>
      <c r="G61" s="2"/>
      <c r="H61" s="2"/>
      <c r="I61" s="2"/>
      <c r="J61" s="2"/>
      <c r="K61" s="2"/>
      <c r="L61" s="21"/>
      <c r="M61" s="22">
        <f>IF(OR(S61="N/A",ISBLANK(S61),T61&lt;&gt;"Yes"),IF(OR(R61="Critical",R61="High"),L61+30,IF(R61="Moderate",L61+90,IF(R61="Low",L61+180,""))),IF(OR(S61="Critical",S61="High"),L61+30,IF(S61="Moderate",L61+90,IF(S61="Low",L61+180,""))))</f>
      </c>
      <c r="N61" s="21"/>
      <c r="O61" s="2"/>
      <c r="P61" s="21"/>
      <c r="Q61" s="2"/>
      <c r="R61" s="2"/>
      <c r="S61" s="2"/>
      <c r="T61" s="2"/>
      <c r="U61" s="2"/>
      <c r="V61" s="2"/>
      <c r="W61" s="2"/>
      <c r="X61" s="2"/>
      <c r="Y61" s="2"/>
      <c r="Z61" s="2"/>
      <c r="AA61" s="21"/>
      <c r="AB61" s="2"/>
    </row>
    <row r="62" ht="18.0" customHeight="1">
      <c r="A62" s="2"/>
      <c r="B62" s="2"/>
      <c r="C62" s="2"/>
      <c r="D62" s="2"/>
      <c r="E62" s="2"/>
      <c r="F62" s="2"/>
      <c r="G62" s="2"/>
      <c r="H62" s="2"/>
      <c r="I62" s="2"/>
      <c r="J62" s="2"/>
      <c r="K62" s="2"/>
      <c r="L62" s="21"/>
      <c r="M62" s="22">
        <f>IF(OR(S62="N/A",ISBLANK(S62),T62&lt;&gt;"Yes"),IF(OR(R62="Critical",R62="High"),L62+30,IF(R62="Moderate",L62+90,IF(R62="Low",L62+180,""))),IF(OR(S62="Critical",S62="High"),L62+30,IF(S62="Moderate",L62+90,IF(S62="Low",L62+180,""))))</f>
      </c>
      <c r="N62" s="21"/>
      <c r="O62" s="2"/>
      <c r="P62" s="21"/>
      <c r="Q62" s="2"/>
      <c r="R62" s="2"/>
      <c r="S62" s="2"/>
      <c r="T62" s="2"/>
      <c r="U62" s="2"/>
      <c r="V62" s="2"/>
      <c r="W62" s="2"/>
      <c r="X62" s="2"/>
      <c r="Y62" s="2"/>
      <c r="Z62" s="2"/>
      <c r="AA62" s="21"/>
      <c r="AB62" s="2"/>
    </row>
    <row r="63" ht="18.0" customHeight="1">
      <c r="A63" s="2"/>
      <c r="B63" s="2"/>
      <c r="C63" s="2"/>
      <c r="D63" s="2"/>
      <c r="E63" s="2"/>
      <c r="F63" s="2"/>
      <c r="G63" s="2"/>
      <c r="H63" s="2"/>
      <c r="I63" s="2"/>
      <c r="J63" s="2"/>
      <c r="K63" s="2"/>
      <c r="L63" s="21"/>
      <c r="M63" s="22">
        <f>IF(OR(S63="N/A",ISBLANK(S63),T63&lt;&gt;"Yes"),IF(OR(R63="Critical",R63="High"),L63+30,IF(R63="Moderate",L63+90,IF(R63="Low",L63+180,""))),IF(OR(S63="Critical",S63="High"),L63+30,IF(S63="Moderate",L63+90,IF(S63="Low",L63+180,""))))</f>
      </c>
      <c r="N63" s="21"/>
      <c r="O63" s="2"/>
      <c r="P63" s="21"/>
      <c r="Q63" s="2"/>
      <c r="R63" s="2"/>
      <c r="S63" s="2"/>
      <c r="T63" s="2"/>
      <c r="U63" s="2"/>
      <c r="V63" s="2"/>
      <c r="W63" s="2"/>
      <c r="X63" s="2"/>
      <c r="Y63" s="2"/>
      <c r="Z63" s="2"/>
      <c r="AA63" s="21"/>
      <c r="AB63" s="2"/>
    </row>
    <row r="64" ht="18.0" customHeight="1">
      <c r="A64" s="2"/>
      <c r="B64" s="2"/>
      <c r="C64" s="2"/>
      <c r="D64" s="2"/>
      <c r="E64" s="2"/>
      <c r="F64" s="2"/>
      <c r="G64" s="2"/>
      <c r="H64" s="2"/>
      <c r="I64" s="2"/>
      <c r="J64" s="2"/>
      <c r="K64" s="2"/>
      <c r="L64" s="21"/>
      <c r="M64" s="22">
        <f>IF(OR(S64="N/A",ISBLANK(S64),T64&lt;&gt;"Yes"),IF(OR(R64="Critical",R64="High"),L64+30,IF(R64="Moderate",L64+90,IF(R64="Low",L64+180,""))),IF(OR(S64="Critical",S64="High"),L64+30,IF(S64="Moderate",L64+90,IF(S64="Low",L64+180,""))))</f>
      </c>
      <c r="N64" s="21"/>
      <c r="O64" s="2"/>
      <c r="P64" s="21"/>
      <c r="Q64" s="2"/>
      <c r="R64" s="2"/>
      <c r="S64" s="2"/>
      <c r="T64" s="2"/>
      <c r="U64" s="2"/>
      <c r="V64" s="2"/>
      <c r="W64" s="2"/>
      <c r="X64" s="2"/>
      <c r="Y64" s="2"/>
      <c r="Z64" s="2"/>
      <c r="AA64" s="21"/>
      <c r="AB64" s="2"/>
    </row>
    <row r="65" ht="18.0" customHeight="1">
      <c r="A65" s="2"/>
      <c r="B65" s="2"/>
      <c r="C65" s="2"/>
      <c r="D65" s="2"/>
      <c r="E65" s="2"/>
      <c r="F65" s="2"/>
      <c r="G65" s="2"/>
      <c r="H65" s="2"/>
      <c r="I65" s="2"/>
      <c r="J65" s="2"/>
      <c r="K65" s="2"/>
      <c r="L65" s="21"/>
      <c r="M65" s="22">
        <f>IF(OR(S65="N/A",ISBLANK(S65),T65&lt;&gt;"Yes"),IF(OR(R65="Critical",R65="High"),L65+30,IF(R65="Moderate",L65+90,IF(R65="Low",L65+180,""))),IF(OR(S65="Critical",S65="High"),L65+30,IF(S65="Moderate",L65+90,IF(S65="Low",L65+180,""))))</f>
      </c>
      <c r="N65" s="21"/>
      <c r="O65" s="2"/>
      <c r="P65" s="21"/>
      <c r="Q65" s="2"/>
      <c r="R65" s="2"/>
      <c r="S65" s="2"/>
      <c r="T65" s="2"/>
      <c r="U65" s="2"/>
      <c r="V65" s="2"/>
      <c r="W65" s="2"/>
      <c r="X65" s="2"/>
      <c r="Y65" s="2"/>
      <c r="Z65" s="2"/>
      <c r="AA65" s="21"/>
      <c r="AB65" s="2"/>
    </row>
    <row r="66" ht="18.0" customHeight="1">
      <c r="A66" s="2"/>
      <c r="B66" s="2"/>
      <c r="C66" s="2"/>
      <c r="D66" s="2"/>
      <c r="E66" s="2"/>
      <c r="F66" s="2"/>
      <c r="G66" s="2"/>
      <c r="H66" s="2"/>
      <c r="I66" s="2"/>
      <c r="J66" s="2"/>
      <c r="K66" s="2"/>
      <c r="L66" s="21"/>
      <c r="M66" s="22">
        <f>IF(OR(S66="N/A",ISBLANK(S66),T66&lt;&gt;"Yes"),IF(OR(R66="Critical",R66="High"),L66+30,IF(R66="Moderate",L66+90,IF(R66="Low",L66+180,""))),IF(OR(S66="Critical",S66="High"),L66+30,IF(S66="Moderate",L66+90,IF(S66="Low",L66+180,""))))</f>
      </c>
      <c r="N66" s="21"/>
      <c r="O66" s="2"/>
      <c r="P66" s="21"/>
      <c r="Q66" s="2"/>
      <c r="R66" s="2"/>
      <c r="S66" s="2"/>
      <c r="T66" s="2"/>
      <c r="U66" s="2"/>
      <c r="V66" s="2"/>
      <c r="W66" s="2"/>
      <c r="X66" s="2"/>
      <c r="Y66" s="2"/>
      <c r="Z66" s="2"/>
      <c r="AA66" s="21"/>
      <c r="AB66" s="2"/>
    </row>
    <row r="67" ht="18.0" customHeight="1">
      <c r="A67" s="2"/>
      <c r="B67" s="2"/>
      <c r="C67" s="2"/>
      <c r="D67" s="2"/>
      <c r="E67" s="2"/>
      <c r="F67" s="2"/>
      <c r="G67" s="2"/>
      <c r="H67" s="2"/>
      <c r="I67" s="2"/>
      <c r="J67" s="2"/>
      <c r="K67" s="2"/>
      <c r="L67" s="21"/>
      <c r="M67" s="22">
        <f>IF(OR(S67="N/A",ISBLANK(S67),T67&lt;&gt;"Yes"),IF(OR(R67="Critical",R67="High"),L67+30,IF(R67="Moderate",L67+90,IF(R67="Low",L67+180,""))),IF(OR(S67="Critical",S67="High"),L67+30,IF(S67="Moderate",L67+90,IF(S67="Low",L67+180,""))))</f>
      </c>
      <c r="N67" s="21"/>
      <c r="O67" s="2"/>
      <c r="P67" s="21"/>
      <c r="Q67" s="2"/>
      <c r="R67" s="2"/>
      <c r="S67" s="2"/>
      <c r="T67" s="2"/>
      <c r="U67" s="2"/>
      <c r="V67" s="2"/>
      <c r="W67" s="2"/>
      <c r="X67" s="2"/>
      <c r="Y67" s="2"/>
      <c r="Z67" s="2"/>
      <c r="AA67" s="21"/>
      <c r="AB67" s="2"/>
    </row>
    <row r="68" ht="18.0" customHeight="1">
      <c r="A68" s="2"/>
      <c r="B68" s="2"/>
      <c r="C68" s="2"/>
      <c r="D68" s="2"/>
      <c r="E68" s="2"/>
      <c r="F68" s="2"/>
      <c r="G68" s="2"/>
      <c r="H68" s="2"/>
      <c r="I68" s="2"/>
      <c r="J68" s="2"/>
      <c r="K68" s="2"/>
      <c r="L68" s="21"/>
      <c r="M68" s="22">
        <f>IF(OR(S68="N/A",ISBLANK(S68),T68&lt;&gt;"Yes"),IF(OR(R68="Critical",R68="High"),L68+30,IF(R68="Moderate",L68+90,IF(R68="Low",L68+180,""))),IF(OR(S68="Critical",S68="High"),L68+30,IF(S68="Moderate",L68+90,IF(S68="Low",L68+180,""))))</f>
      </c>
      <c r="N68" s="21"/>
      <c r="O68" s="2"/>
      <c r="P68" s="21"/>
      <c r="Q68" s="2"/>
      <c r="R68" s="2"/>
      <c r="S68" s="2"/>
      <c r="T68" s="2"/>
      <c r="U68" s="2"/>
      <c r="V68" s="2"/>
      <c r="W68" s="2"/>
      <c r="X68" s="2"/>
      <c r="Y68" s="2"/>
      <c r="Z68" s="2"/>
      <c r="AA68" s="21"/>
      <c r="AB68" s="2"/>
    </row>
    <row r="69" ht="18.0" customHeight="1">
      <c r="A69" s="2"/>
      <c r="B69" s="2"/>
      <c r="C69" s="2"/>
      <c r="D69" s="2"/>
      <c r="E69" s="2"/>
      <c r="F69" s="2"/>
      <c r="G69" s="2"/>
      <c r="H69" s="2"/>
      <c r="I69" s="2"/>
      <c r="J69" s="2"/>
      <c r="K69" s="2"/>
      <c r="L69" s="21"/>
      <c r="M69" s="22">
        <f>IF(OR(S69="N/A",ISBLANK(S69),T69&lt;&gt;"Yes"),IF(OR(R69="Critical",R69="High"),L69+30,IF(R69="Moderate",L69+90,IF(R69="Low",L69+180,""))),IF(OR(S69="Critical",S69="High"),L69+30,IF(S69="Moderate",L69+90,IF(S69="Low",L69+180,""))))</f>
      </c>
      <c r="N69" s="21"/>
      <c r="O69" s="2"/>
      <c r="P69" s="21"/>
      <c r="Q69" s="2"/>
      <c r="R69" s="2"/>
      <c r="S69" s="2"/>
      <c r="T69" s="2"/>
      <c r="U69" s="2"/>
      <c r="V69" s="2"/>
      <c r="W69" s="2"/>
      <c r="X69" s="2"/>
      <c r="Y69" s="2"/>
      <c r="Z69" s="2"/>
      <c r="AA69" s="21"/>
      <c r="AB69" s="2"/>
    </row>
    <row r="70" ht="18.0" customHeight="1">
      <c r="A70" s="2"/>
      <c r="B70" s="2"/>
      <c r="C70" s="2"/>
      <c r="D70" s="2"/>
      <c r="E70" s="2"/>
      <c r="F70" s="2"/>
      <c r="G70" s="2"/>
      <c r="H70" s="2"/>
      <c r="I70" s="2"/>
      <c r="J70" s="2"/>
      <c r="K70" s="2"/>
      <c r="L70" s="21"/>
      <c r="M70" s="22">
        <f>IF(OR(S70="N/A",ISBLANK(S70),T70&lt;&gt;"Yes"),IF(OR(R70="Critical",R70="High"),L70+30,IF(R70="Moderate",L70+90,IF(R70="Low",L70+180,""))),IF(OR(S70="Critical",S70="High"),L70+30,IF(S70="Moderate",L70+90,IF(S70="Low",L70+180,""))))</f>
      </c>
      <c r="N70" s="21"/>
      <c r="O70" s="2"/>
      <c r="P70" s="21"/>
      <c r="Q70" s="2"/>
      <c r="R70" s="2"/>
      <c r="S70" s="2"/>
      <c r="T70" s="2"/>
      <c r="U70" s="2"/>
      <c r="V70" s="2"/>
      <c r="W70" s="2"/>
      <c r="X70" s="2"/>
      <c r="Y70" s="2"/>
      <c r="Z70" s="2"/>
      <c r="AA70" s="21"/>
      <c r="AB70" s="2"/>
    </row>
    <row r="71" ht="18.0" customHeight="1">
      <c r="A71" s="2"/>
      <c r="B71" s="2"/>
      <c r="C71" s="2"/>
      <c r="D71" s="2"/>
      <c r="E71" s="2"/>
      <c r="F71" s="2"/>
      <c r="G71" s="2"/>
      <c r="H71" s="2"/>
      <c r="I71" s="2"/>
      <c r="J71" s="2"/>
      <c r="K71" s="2"/>
      <c r="L71" s="21"/>
      <c r="M71" s="22">
        <f>IF(OR(S71="N/A",ISBLANK(S71),T71&lt;&gt;"Yes"),IF(OR(R71="Critical",R71="High"),L71+30,IF(R71="Moderate",L71+90,IF(R71="Low",L71+180,""))),IF(OR(S71="Critical",S71="High"),L71+30,IF(S71="Moderate",L71+90,IF(S71="Low",L71+180,""))))</f>
      </c>
      <c r="N71" s="21"/>
      <c r="O71" s="2"/>
      <c r="P71" s="21"/>
      <c r="Q71" s="2"/>
      <c r="R71" s="2"/>
      <c r="S71" s="2"/>
      <c r="T71" s="2"/>
      <c r="U71" s="2"/>
      <c r="V71" s="2"/>
      <c r="W71" s="2"/>
      <c r="X71" s="2"/>
      <c r="Y71" s="2"/>
      <c r="Z71" s="2"/>
      <c r="AA71" s="21"/>
      <c r="AB71" s="2"/>
    </row>
    <row r="72" ht="18.0" customHeight="1">
      <c r="A72" s="2"/>
      <c r="B72" s="2"/>
      <c r="C72" s="2"/>
      <c r="D72" s="2"/>
      <c r="E72" s="2"/>
      <c r="F72" s="2"/>
      <c r="G72" s="2"/>
      <c r="H72" s="2"/>
      <c r="I72" s="2"/>
      <c r="J72" s="2"/>
      <c r="K72" s="2"/>
      <c r="L72" s="21"/>
      <c r="M72" s="22">
        <f>IF(OR(S72="N/A",ISBLANK(S72),T72&lt;&gt;"Yes"),IF(OR(R72="Critical",R72="High"),L72+30,IF(R72="Moderate",L72+90,IF(R72="Low",L72+180,""))),IF(OR(S72="Critical",S72="High"),L72+30,IF(S72="Moderate",L72+90,IF(S72="Low",L72+180,""))))</f>
      </c>
      <c r="N72" s="21"/>
      <c r="O72" s="2"/>
      <c r="P72" s="21"/>
      <c r="Q72" s="2"/>
      <c r="R72" s="2"/>
      <c r="S72" s="2"/>
      <c r="T72" s="2"/>
      <c r="U72" s="2"/>
      <c r="V72" s="2"/>
      <c r="W72" s="2"/>
      <c r="X72" s="2"/>
      <c r="Y72" s="2"/>
      <c r="Z72" s="2"/>
      <c r="AA72" s="21"/>
      <c r="AB72" s="2"/>
    </row>
    <row r="73" ht="18.0" customHeight="1">
      <c r="A73" s="2"/>
      <c r="B73" s="2"/>
      <c r="C73" s="2"/>
      <c r="D73" s="2"/>
      <c r="E73" s="2"/>
      <c r="F73" s="2"/>
      <c r="G73" s="2"/>
      <c r="H73" s="2"/>
      <c r="I73" s="2"/>
      <c r="J73" s="2"/>
      <c r="K73" s="2"/>
      <c r="L73" s="21"/>
      <c r="M73" s="22">
        <f>IF(OR(S73="N/A",ISBLANK(S73),T73&lt;&gt;"Yes"),IF(OR(R73="Critical",R73="High"),L73+30,IF(R73="Moderate",L73+90,IF(R73="Low",L73+180,""))),IF(OR(S73="Critical",S73="High"),L73+30,IF(S73="Moderate",L73+90,IF(S73="Low",L73+180,""))))</f>
      </c>
      <c r="N73" s="21"/>
      <c r="O73" s="2"/>
      <c r="P73" s="21"/>
      <c r="Q73" s="2"/>
      <c r="R73" s="2"/>
      <c r="S73" s="2"/>
      <c r="T73" s="2"/>
      <c r="U73" s="2"/>
      <c r="V73" s="2"/>
      <c r="W73" s="2"/>
      <c r="X73" s="2"/>
      <c r="Y73" s="2"/>
      <c r="Z73" s="2"/>
      <c r="AA73" s="21"/>
      <c r="AB73" s="2"/>
    </row>
    <row r="74" ht="18.0" customHeight="1">
      <c r="A74" s="2"/>
      <c r="B74" s="2"/>
      <c r="C74" s="2"/>
      <c r="D74" s="2"/>
      <c r="E74" s="2"/>
      <c r="F74" s="2"/>
      <c r="G74" s="2"/>
      <c r="H74" s="2"/>
      <c r="I74" s="2"/>
      <c r="J74" s="2"/>
      <c r="K74" s="2"/>
      <c r="L74" s="21"/>
      <c r="M74" s="22">
        <f>IF(OR(S74="N/A",ISBLANK(S74),T74&lt;&gt;"Yes"),IF(OR(R74="Critical",R74="High"),L74+30,IF(R74="Moderate",L74+90,IF(R74="Low",L74+180,""))),IF(OR(S74="Critical",S74="High"),L74+30,IF(S74="Moderate",L74+90,IF(S74="Low",L74+180,""))))</f>
      </c>
      <c r="N74" s="21"/>
      <c r="O74" s="2"/>
      <c r="P74" s="21"/>
      <c r="Q74" s="2"/>
      <c r="R74" s="2"/>
      <c r="S74" s="2"/>
      <c r="T74" s="2"/>
      <c r="U74" s="2"/>
      <c r="V74" s="2"/>
      <c r="W74" s="2"/>
      <c r="X74" s="2"/>
      <c r="Y74" s="2"/>
      <c r="Z74" s="2"/>
      <c r="AA74" s="21"/>
      <c r="AB74" s="2"/>
    </row>
    <row r="75" ht="18.0" customHeight="1">
      <c r="A75" s="2"/>
      <c r="B75" s="2"/>
      <c r="C75" s="2"/>
      <c r="D75" s="2"/>
      <c r="E75" s="2"/>
      <c r="F75" s="2"/>
      <c r="G75" s="2"/>
      <c r="H75" s="2"/>
      <c r="I75" s="2"/>
      <c r="J75" s="2"/>
      <c r="K75" s="2"/>
      <c r="L75" s="21"/>
      <c r="M75" s="22">
        <f>IF(OR(S75="N/A",ISBLANK(S75),T75&lt;&gt;"Yes"),IF(OR(R75="Critical",R75="High"),L75+30,IF(R75="Moderate",L75+90,IF(R75="Low",L75+180,""))),IF(OR(S75="Critical",S75="High"),L75+30,IF(S75="Moderate",L75+90,IF(S75="Low",L75+180,""))))</f>
      </c>
      <c r="N75" s="21"/>
      <c r="O75" s="2"/>
      <c r="P75" s="21"/>
      <c r="Q75" s="2"/>
      <c r="R75" s="2"/>
      <c r="S75" s="2"/>
      <c r="T75" s="2"/>
      <c r="U75" s="2"/>
      <c r="V75" s="2"/>
      <c r="W75" s="2"/>
      <c r="X75" s="2"/>
      <c r="Y75" s="2"/>
      <c r="Z75" s="2"/>
      <c r="AA75" s="21"/>
      <c r="AB75" s="2"/>
    </row>
    <row r="76" ht="18.0" customHeight="1">
      <c r="A76" s="2"/>
      <c r="B76" s="2"/>
      <c r="C76" s="2"/>
      <c r="D76" s="2"/>
      <c r="E76" s="2"/>
      <c r="F76" s="2"/>
      <c r="G76" s="2"/>
      <c r="H76" s="2"/>
      <c r="I76" s="2"/>
      <c r="J76" s="2"/>
      <c r="K76" s="2"/>
      <c r="L76" s="21"/>
      <c r="M76" s="22">
        <f>IF(OR(S76="N/A",ISBLANK(S76),T76&lt;&gt;"Yes"),IF(OR(R76="Critical",R76="High"),L76+30,IF(R76="Moderate",L76+90,IF(R76="Low",L76+180,""))),IF(OR(S76="Critical",S76="High"),L76+30,IF(S76="Moderate",L76+90,IF(S76="Low",L76+180,""))))</f>
      </c>
      <c r="N76" s="21"/>
      <c r="O76" s="2"/>
      <c r="P76" s="21"/>
      <c r="Q76" s="2"/>
      <c r="R76" s="2"/>
      <c r="S76" s="2"/>
      <c r="T76" s="2"/>
      <c r="U76" s="2"/>
      <c r="V76" s="2"/>
      <c r="W76" s="2"/>
      <c r="X76" s="2"/>
      <c r="Y76" s="2"/>
      <c r="Z76" s="2"/>
      <c r="AA76" s="21"/>
      <c r="AB76" s="2"/>
    </row>
    <row r="77" ht="18.0" customHeight="1">
      <c r="A77" s="2"/>
      <c r="B77" s="2"/>
      <c r="C77" s="2"/>
      <c r="D77" s="2"/>
      <c r="E77" s="2"/>
      <c r="F77" s="2"/>
      <c r="G77" s="2"/>
      <c r="H77" s="2"/>
      <c r="I77" s="2"/>
      <c r="J77" s="2"/>
      <c r="K77" s="2"/>
      <c r="L77" s="21"/>
      <c r="M77" s="22">
        <f>IF(OR(S77="N/A",ISBLANK(S77),T77&lt;&gt;"Yes"),IF(OR(R77="Critical",R77="High"),L77+30,IF(R77="Moderate",L77+90,IF(R77="Low",L77+180,""))),IF(OR(S77="Critical",S77="High"),L77+30,IF(S77="Moderate",L77+90,IF(S77="Low",L77+180,""))))</f>
      </c>
      <c r="N77" s="21"/>
      <c r="O77" s="2"/>
      <c r="P77" s="21"/>
      <c r="Q77" s="2"/>
      <c r="R77" s="2"/>
      <c r="S77" s="2"/>
      <c r="T77" s="2"/>
      <c r="U77" s="2"/>
      <c r="V77" s="2"/>
      <c r="W77" s="2"/>
      <c r="X77" s="2"/>
      <c r="Y77" s="2"/>
      <c r="Z77" s="2"/>
      <c r="AA77" s="21"/>
      <c r="AB77" s="2"/>
    </row>
    <row r="78" ht="18.0" customHeight="1">
      <c r="A78" s="2"/>
      <c r="B78" s="2"/>
      <c r="C78" s="2"/>
      <c r="D78" s="2"/>
      <c r="E78" s="2"/>
      <c r="F78" s="2"/>
      <c r="G78" s="2"/>
      <c r="H78" s="2"/>
      <c r="I78" s="2"/>
      <c r="J78" s="2"/>
      <c r="K78" s="2"/>
      <c r="L78" s="21"/>
      <c r="M78" s="22">
        <f>IF(OR(S78="N/A",ISBLANK(S78),T78&lt;&gt;"Yes"),IF(OR(R78="Critical",R78="High"),L78+30,IF(R78="Moderate",L78+90,IF(R78="Low",L78+180,""))),IF(OR(S78="Critical",S78="High"),L78+30,IF(S78="Moderate",L78+90,IF(S78="Low",L78+180,""))))</f>
      </c>
      <c r="N78" s="21"/>
      <c r="O78" s="2"/>
      <c r="P78" s="21"/>
      <c r="Q78" s="2"/>
      <c r="R78" s="2"/>
      <c r="S78" s="2"/>
      <c r="T78" s="2"/>
      <c r="U78" s="2"/>
      <c r="V78" s="2"/>
      <c r="W78" s="2"/>
      <c r="X78" s="2"/>
      <c r="Y78" s="2"/>
      <c r="Z78" s="2"/>
      <c r="AA78" s="21"/>
      <c r="AB78" s="2"/>
    </row>
    <row r="79" ht="18.0" customHeight="1">
      <c r="A79" s="2"/>
      <c r="B79" s="2"/>
      <c r="C79" s="2"/>
      <c r="D79" s="2"/>
      <c r="E79" s="2"/>
      <c r="F79" s="2"/>
      <c r="G79" s="2"/>
      <c r="H79" s="2"/>
      <c r="I79" s="2"/>
      <c r="J79" s="2"/>
      <c r="K79" s="2"/>
      <c r="L79" s="21"/>
      <c r="M79" s="22">
        <f>IF(OR(S79="N/A",ISBLANK(S79),T79&lt;&gt;"Yes"),IF(OR(R79="Critical",R79="High"),L79+30,IF(R79="Moderate",L79+90,IF(R79="Low",L79+180,""))),IF(OR(S79="Critical",S79="High"),L79+30,IF(S79="Moderate",L79+90,IF(S79="Low",L79+180,""))))</f>
      </c>
      <c r="N79" s="21"/>
      <c r="O79" s="2"/>
      <c r="P79" s="21"/>
      <c r="Q79" s="2"/>
      <c r="R79" s="2"/>
      <c r="S79" s="2"/>
      <c r="T79" s="2"/>
      <c r="U79" s="2"/>
      <c r="V79" s="2"/>
      <c r="W79" s="2"/>
      <c r="X79" s="2"/>
      <c r="Y79" s="2"/>
      <c r="Z79" s="2"/>
      <c r="AA79" s="21"/>
      <c r="AB79" s="2"/>
    </row>
    <row r="80" ht="18.0" customHeight="1">
      <c r="A80" s="2"/>
      <c r="B80" s="2"/>
      <c r="C80" s="2"/>
      <c r="D80" s="2"/>
      <c r="E80" s="2"/>
      <c r="F80" s="2"/>
      <c r="G80" s="2"/>
      <c r="H80" s="2"/>
      <c r="I80" s="2"/>
      <c r="J80" s="2"/>
      <c r="K80" s="2"/>
      <c r="L80" s="21"/>
      <c r="M80" s="22">
        <f>IF(OR(S80="N/A",ISBLANK(S80),T80&lt;&gt;"Yes"),IF(OR(R80="Critical",R80="High"),L80+30,IF(R80="Moderate",L80+90,IF(R80="Low",L80+180,""))),IF(OR(S80="Critical",S80="High"),L80+30,IF(S80="Moderate",L80+90,IF(S80="Low",L80+180,""))))</f>
      </c>
      <c r="N80" s="21"/>
      <c r="O80" s="2"/>
      <c r="P80" s="21"/>
      <c r="Q80" s="2"/>
      <c r="R80" s="2"/>
      <c r="S80" s="2"/>
      <c r="T80" s="2"/>
      <c r="U80" s="2"/>
      <c r="V80" s="2"/>
      <c r="W80" s="2"/>
      <c r="X80" s="2"/>
      <c r="Y80" s="2"/>
      <c r="Z80" s="2"/>
      <c r="AA80" s="21"/>
      <c r="AB80" s="2"/>
    </row>
    <row r="81" ht="18.0" customHeight="1">
      <c r="A81" s="2"/>
      <c r="B81" s="2"/>
      <c r="C81" s="2"/>
      <c r="D81" s="2"/>
      <c r="E81" s="2"/>
      <c r="F81" s="2"/>
      <c r="G81" s="2"/>
      <c r="H81" s="2"/>
      <c r="I81" s="2"/>
      <c r="J81" s="2"/>
      <c r="K81" s="2"/>
      <c r="L81" s="21"/>
      <c r="M81" s="22">
        <f>IF(OR(S81="N/A",ISBLANK(S81),T81&lt;&gt;"Yes"),IF(OR(R81="Critical",R81="High"),L81+30,IF(R81="Moderate",L81+90,IF(R81="Low",L81+180,""))),IF(OR(S81="Critical",S81="High"),L81+30,IF(S81="Moderate",L81+90,IF(S81="Low",L81+180,""))))</f>
      </c>
      <c r="N81" s="21"/>
      <c r="O81" s="2"/>
      <c r="P81" s="21"/>
      <c r="Q81" s="2"/>
      <c r="R81" s="2"/>
      <c r="S81" s="2"/>
      <c r="T81" s="2"/>
      <c r="U81" s="2"/>
      <c r="V81" s="2"/>
      <c r="W81" s="2"/>
      <c r="X81" s="2"/>
      <c r="Y81" s="2"/>
      <c r="Z81" s="2"/>
      <c r="AA81" s="21"/>
      <c r="AB81" s="2"/>
    </row>
    <row r="82" ht="18.0" customHeight="1">
      <c r="A82" s="2"/>
      <c r="B82" s="2"/>
      <c r="C82" s="2"/>
      <c r="D82" s="2"/>
      <c r="E82" s="2"/>
      <c r="F82" s="2"/>
      <c r="G82" s="2"/>
      <c r="H82" s="2"/>
      <c r="I82" s="2"/>
      <c r="J82" s="2"/>
      <c r="K82" s="2"/>
      <c r="L82" s="21"/>
      <c r="M82" s="22">
        <f>IF(OR(S82="N/A",ISBLANK(S82),T82&lt;&gt;"Yes"),IF(OR(R82="Critical",R82="High"),L82+30,IF(R82="Moderate",L82+90,IF(R82="Low",L82+180,""))),IF(OR(S82="Critical",S82="High"),L82+30,IF(S82="Moderate",L82+90,IF(S82="Low",L82+180,""))))</f>
      </c>
      <c r="N82" s="21"/>
      <c r="O82" s="2"/>
      <c r="P82" s="21"/>
      <c r="Q82" s="2"/>
      <c r="R82" s="2"/>
      <c r="S82" s="2"/>
      <c r="T82" s="2"/>
      <c r="U82" s="2"/>
      <c r="V82" s="2"/>
      <c r="W82" s="2"/>
      <c r="X82" s="2"/>
      <c r="Y82" s="2"/>
      <c r="Z82" s="2"/>
      <c r="AA82" s="21"/>
      <c r="AB82" s="2"/>
    </row>
    <row r="83" ht="18.0" customHeight="1">
      <c r="A83" s="2"/>
      <c r="B83" s="2"/>
      <c r="C83" s="2"/>
      <c r="D83" s="2"/>
      <c r="E83" s="2"/>
      <c r="F83" s="2"/>
      <c r="G83" s="2"/>
      <c r="H83" s="2"/>
      <c r="I83" s="2"/>
      <c r="J83" s="2"/>
      <c r="K83" s="2"/>
      <c r="L83" s="21"/>
      <c r="M83" s="22">
        <f>IF(OR(S83="N/A",ISBLANK(S83),T83&lt;&gt;"Yes"),IF(OR(R83="Critical",R83="High"),L83+30,IF(R83="Moderate",L83+90,IF(R83="Low",L83+180,""))),IF(OR(S83="Critical",S83="High"),L83+30,IF(S83="Moderate",L83+90,IF(S83="Low",L83+180,""))))</f>
      </c>
      <c r="N83" s="21"/>
      <c r="O83" s="2"/>
      <c r="P83" s="21"/>
      <c r="Q83" s="2"/>
      <c r="R83" s="2"/>
      <c r="S83" s="2"/>
      <c r="T83" s="2"/>
      <c r="U83" s="2"/>
      <c r="V83" s="2"/>
      <c r="W83" s="2"/>
      <c r="X83" s="2"/>
      <c r="Y83" s="2"/>
      <c r="Z83" s="2"/>
      <c r="AA83" s="21"/>
      <c r="AB83" s="2"/>
    </row>
    <row r="84" ht="18.0" customHeight="1">
      <c r="A84" s="2"/>
      <c r="B84" s="2"/>
      <c r="C84" s="2"/>
      <c r="D84" s="2"/>
      <c r="E84" s="2"/>
      <c r="F84" s="2"/>
      <c r="G84" s="2"/>
      <c r="H84" s="2"/>
      <c r="I84" s="2"/>
      <c r="J84" s="2"/>
      <c r="K84" s="2"/>
      <c r="L84" s="21"/>
      <c r="M84" s="22">
        <f>IF(OR(S84="N/A",ISBLANK(S84),T84&lt;&gt;"Yes"),IF(OR(R84="Critical",R84="High"),L84+30,IF(R84="Moderate",L84+90,IF(R84="Low",L84+180,""))),IF(OR(S84="Critical",S84="High"),L84+30,IF(S84="Moderate",L84+90,IF(S84="Low",L84+180,""))))</f>
      </c>
      <c r="N84" s="21"/>
      <c r="O84" s="2"/>
      <c r="P84" s="21"/>
      <c r="Q84" s="2"/>
      <c r="R84" s="2"/>
      <c r="S84" s="2"/>
      <c r="T84" s="2"/>
      <c r="U84" s="2"/>
      <c r="V84" s="2"/>
      <c r="W84" s="2"/>
      <c r="X84" s="2"/>
      <c r="Y84" s="2"/>
      <c r="Z84" s="2"/>
      <c r="AA84" s="21"/>
      <c r="AB84" s="2"/>
    </row>
    <row r="85" ht="18.0" customHeight="1">
      <c r="A85" s="2"/>
      <c r="B85" s="2"/>
      <c r="C85" s="2"/>
      <c r="D85" s="2"/>
      <c r="E85" s="2"/>
      <c r="F85" s="2"/>
      <c r="G85" s="2"/>
      <c r="H85" s="2"/>
      <c r="I85" s="2"/>
      <c r="J85" s="2"/>
      <c r="K85" s="2"/>
      <c r="L85" s="21"/>
      <c r="M85" s="22">
        <f>IF(OR(S85="N/A",ISBLANK(S85),T85&lt;&gt;"Yes"),IF(OR(R85="Critical",R85="High"),L85+30,IF(R85="Moderate",L85+90,IF(R85="Low",L85+180,""))),IF(OR(S85="Critical",S85="High"),L85+30,IF(S85="Moderate",L85+90,IF(S85="Low",L85+180,""))))</f>
      </c>
      <c r="N85" s="21"/>
      <c r="O85" s="2"/>
      <c r="P85" s="21"/>
      <c r="Q85" s="2"/>
      <c r="R85" s="2"/>
      <c r="S85" s="2"/>
      <c r="T85" s="2"/>
      <c r="U85" s="2"/>
      <c r="V85" s="2"/>
      <c r="W85" s="2"/>
      <c r="X85" s="2"/>
      <c r="Y85" s="2"/>
      <c r="Z85" s="2"/>
      <c r="AA85" s="21"/>
      <c r="AB85" s="2"/>
    </row>
    <row r="86" ht="18.0" customHeight="1">
      <c r="A86" s="2"/>
      <c r="B86" s="2"/>
      <c r="C86" s="2"/>
      <c r="D86" s="2"/>
      <c r="E86" s="2"/>
      <c r="F86" s="2"/>
      <c r="G86" s="2"/>
      <c r="H86" s="2"/>
      <c r="I86" s="2"/>
      <c r="J86" s="2"/>
      <c r="K86" s="2"/>
      <c r="L86" s="21"/>
      <c r="M86" s="22">
        <f>IF(OR(S86="N/A",ISBLANK(S86),T86&lt;&gt;"Yes"),IF(OR(R86="Critical",R86="High"),L86+30,IF(R86="Moderate",L86+90,IF(R86="Low",L86+180,""))),IF(OR(S86="Critical",S86="High"),L86+30,IF(S86="Moderate",L86+90,IF(S86="Low",L86+180,""))))</f>
      </c>
      <c r="N86" s="21"/>
      <c r="O86" s="2"/>
      <c r="P86" s="21"/>
      <c r="Q86" s="2"/>
      <c r="R86" s="2"/>
      <c r="S86" s="2"/>
      <c r="T86" s="2"/>
      <c r="U86" s="2"/>
      <c r="V86" s="2"/>
      <c r="W86" s="2"/>
      <c r="X86" s="2"/>
      <c r="Y86" s="2"/>
      <c r="Z86" s="2"/>
      <c r="AA86" s="21"/>
      <c r="AB86" s="2"/>
    </row>
    <row r="87" ht="18.0" customHeight="1">
      <c r="A87" s="2"/>
      <c r="B87" s="2"/>
      <c r="C87" s="2"/>
      <c r="D87" s="2"/>
      <c r="E87" s="2"/>
      <c r="F87" s="2"/>
      <c r="G87" s="2"/>
      <c r="H87" s="2"/>
      <c r="I87" s="2"/>
      <c r="J87" s="2"/>
      <c r="K87" s="2"/>
      <c r="L87" s="21"/>
      <c r="M87" s="22">
        <f>IF(OR(S87="N/A",ISBLANK(S87),T87&lt;&gt;"Yes"),IF(OR(R87="Critical",R87="High"),L87+30,IF(R87="Moderate",L87+90,IF(R87="Low",L87+180,""))),IF(OR(S87="Critical",S87="High"),L87+30,IF(S87="Moderate",L87+90,IF(S87="Low",L87+180,""))))</f>
      </c>
      <c r="N87" s="21"/>
      <c r="O87" s="2"/>
      <c r="P87" s="21"/>
      <c r="Q87" s="2"/>
      <c r="R87" s="2"/>
      <c r="S87" s="2"/>
      <c r="T87" s="2"/>
      <c r="U87" s="2"/>
      <c r="V87" s="2"/>
      <c r="W87" s="2"/>
      <c r="X87" s="2"/>
      <c r="Y87" s="2"/>
      <c r="Z87" s="2"/>
      <c r="AA87" s="21"/>
      <c r="AB87" s="2"/>
    </row>
    <row r="88" ht="18.0" customHeight="1">
      <c r="A88" s="2"/>
      <c r="B88" s="2"/>
      <c r="C88" s="2"/>
      <c r="D88" s="2"/>
      <c r="E88" s="2"/>
      <c r="F88" s="2"/>
      <c r="G88" s="2"/>
      <c r="H88" s="2"/>
      <c r="I88" s="2"/>
      <c r="J88" s="2"/>
      <c r="K88" s="2"/>
      <c r="L88" s="21"/>
      <c r="M88" s="22">
        <f>IF(OR(S88="N/A",ISBLANK(S88),T88&lt;&gt;"Yes"),IF(OR(R88="Critical",R88="High"),L88+30,IF(R88="Moderate",L88+90,IF(R88="Low",L88+180,""))),IF(OR(S88="Critical",S88="High"),L88+30,IF(S88="Moderate",L88+90,IF(S88="Low",L88+180,""))))</f>
      </c>
      <c r="N88" s="21"/>
      <c r="O88" s="2"/>
      <c r="P88" s="21"/>
      <c r="Q88" s="2"/>
      <c r="R88" s="2"/>
      <c r="S88" s="2"/>
      <c r="T88" s="2"/>
      <c r="U88" s="2"/>
      <c r="V88" s="2"/>
      <c r="W88" s="2"/>
      <c r="X88" s="2"/>
      <c r="Y88" s="2"/>
      <c r="Z88" s="2"/>
      <c r="AA88" s="21"/>
      <c r="AB88" s="2"/>
    </row>
    <row r="89" ht="18.0" customHeight="1">
      <c r="A89" s="2"/>
      <c r="B89" s="2"/>
      <c r="C89" s="2"/>
      <c r="D89" s="2"/>
      <c r="E89" s="2"/>
      <c r="F89" s="2"/>
      <c r="G89" s="2"/>
      <c r="H89" s="2"/>
      <c r="I89" s="2"/>
      <c r="J89" s="2"/>
      <c r="K89" s="2"/>
      <c r="L89" s="21"/>
      <c r="M89" s="22">
        <f>IF(OR(S89="N/A",ISBLANK(S89),T89&lt;&gt;"Yes"),IF(OR(R89="Critical",R89="High"),L89+30,IF(R89="Moderate",L89+90,IF(R89="Low",L89+180,""))),IF(OR(S89="Critical",S89="High"),L89+30,IF(S89="Moderate",L89+90,IF(S89="Low",L89+180,""))))</f>
      </c>
      <c r="N89" s="21"/>
      <c r="O89" s="2"/>
      <c r="P89" s="21"/>
      <c r="Q89" s="2"/>
      <c r="R89" s="2"/>
      <c r="S89" s="2"/>
      <c r="T89" s="2"/>
      <c r="U89" s="2"/>
      <c r="V89" s="2"/>
      <c r="W89" s="2"/>
      <c r="X89" s="2"/>
      <c r="Y89" s="2"/>
      <c r="Z89" s="2"/>
      <c r="AA89" s="21"/>
      <c r="AB89" s="2"/>
    </row>
    <row r="90" ht="18.0" customHeight="1">
      <c r="A90" s="2"/>
      <c r="B90" s="2"/>
      <c r="C90" s="2"/>
      <c r="D90" s="2"/>
      <c r="E90" s="2"/>
      <c r="F90" s="2"/>
      <c r="G90" s="2"/>
      <c r="H90" s="2"/>
      <c r="I90" s="2"/>
      <c r="J90" s="2"/>
      <c r="K90" s="2"/>
      <c r="L90" s="21"/>
      <c r="M90" s="22">
        <f>IF(OR(S90="N/A",ISBLANK(S90),T90&lt;&gt;"Yes"),IF(OR(R90="Critical",R90="High"),L90+30,IF(R90="Moderate",L90+90,IF(R90="Low",L90+180,""))),IF(OR(S90="Critical",S90="High"),L90+30,IF(S90="Moderate",L90+90,IF(S90="Low",L90+180,""))))</f>
      </c>
      <c r="N90" s="21"/>
      <c r="O90" s="2"/>
      <c r="P90" s="21"/>
      <c r="Q90" s="2"/>
      <c r="R90" s="2"/>
      <c r="S90" s="2"/>
      <c r="T90" s="2"/>
      <c r="U90" s="2"/>
      <c r="V90" s="2"/>
      <c r="W90" s="2"/>
      <c r="X90" s="2"/>
      <c r="Y90" s="2"/>
      <c r="Z90" s="2"/>
      <c r="AA90" s="21"/>
      <c r="AB90" s="2"/>
    </row>
    <row r="91" ht="18.0" customHeight="1">
      <c r="A91" s="2"/>
      <c r="B91" s="2"/>
      <c r="C91" s="2"/>
      <c r="D91" s="2"/>
      <c r="E91" s="2"/>
      <c r="F91" s="2"/>
      <c r="G91" s="2"/>
      <c r="H91" s="2"/>
      <c r="I91" s="2"/>
      <c r="J91" s="2"/>
      <c r="K91" s="2"/>
      <c r="L91" s="21"/>
      <c r="M91" s="22">
        <f>IF(OR(S91="N/A",ISBLANK(S91),T91&lt;&gt;"Yes"),IF(OR(R91="Critical",R91="High"),L91+30,IF(R91="Moderate",L91+90,IF(R91="Low",L91+180,""))),IF(OR(S91="Critical",S91="High"),L91+30,IF(S91="Moderate",L91+90,IF(S91="Low",L91+180,""))))</f>
      </c>
      <c r="N91" s="21"/>
      <c r="O91" s="2"/>
      <c r="P91" s="21"/>
      <c r="Q91" s="2"/>
      <c r="R91" s="2"/>
      <c r="S91" s="2"/>
      <c r="T91" s="2"/>
      <c r="U91" s="2"/>
      <c r="V91" s="2"/>
      <c r="W91" s="2"/>
      <c r="X91" s="2"/>
      <c r="Y91" s="2"/>
      <c r="Z91" s="2"/>
      <c r="AA91" s="21"/>
      <c r="AB91" s="2"/>
    </row>
    <row r="92" ht="18.0" customHeight="1">
      <c r="A92" s="2"/>
      <c r="B92" s="2"/>
      <c r="C92" s="2"/>
      <c r="D92" s="2"/>
      <c r="E92" s="2"/>
      <c r="F92" s="2"/>
      <c r="G92" s="2"/>
      <c r="H92" s="2"/>
      <c r="I92" s="2"/>
      <c r="J92" s="2"/>
      <c r="K92" s="2"/>
      <c r="L92" s="21"/>
      <c r="M92" s="22">
        <f>IF(OR(S92="N/A",ISBLANK(S92),T92&lt;&gt;"Yes"),IF(OR(R92="Critical",R92="High"),L92+30,IF(R92="Moderate",L92+90,IF(R92="Low",L92+180,""))),IF(OR(S92="Critical",S92="High"),L92+30,IF(S92="Moderate",L92+90,IF(S92="Low",L92+180,""))))</f>
      </c>
      <c r="N92" s="21"/>
      <c r="O92" s="2"/>
      <c r="P92" s="21"/>
      <c r="Q92" s="2"/>
      <c r="R92" s="2"/>
      <c r="S92" s="2"/>
      <c r="T92" s="2"/>
      <c r="U92" s="2"/>
      <c r="V92" s="2"/>
      <c r="W92" s="2"/>
      <c r="X92" s="2"/>
      <c r="Y92" s="2"/>
      <c r="Z92" s="2"/>
      <c r="AA92" s="21"/>
      <c r="AB92" s="2"/>
    </row>
    <row r="93" ht="18.0" customHeight="1">
      <c r="A93" s="2"/>
      <c r="B93" s="2"/>
      <c r="C93" s="2"/>
      <c r="D93" s="2"/>
      <c r="E93" s="2"/>
      <c r="F93" s="2"/>
      <c r="G93" s="2"/>
      <c r="H93" s="2"/>
      <c r="I93" s="2"/>
      <c r="J93" s="2"/>
      <c r="K93" s="2"/>
      <c r="L93" s="21"/>
      <c r="M93" s="22">
        <f>IF(OR(S93="N/A",ISBLANK(S93),T93&lt;&gt;"Yes"),IF(OR(R93="Critical",R93="High"),L93+30,IF(R93="Moderate",L93+90,IF(R93="Low",L93+180,""))),IF(OR(S93="Critical",S93="High"),L93+30,IF(S93="Moderate",L93+90,IF(S93="Low",L93+180,""))))</f>
      </c>
      <c r="N93" s="21"/>
      <c r="O93" s="2"/>
      <c r="P93" s="21"/>
      <c r="Q93" s="2"/>
      <c r="R93" s="2"/>
      <c r="S93" s="2"/>
      <c r="T93" s="2"/>
      <c r="U93" s="2"/>
      <c r="V93" s="2"/>
      <c r="W93" s="2"/>
      <c r="X93" s="2"/>
      <c r="Y93" s="2"/>
      <c r="Z93" s="2"/>
      <c r="AA93" s="21"/>
      <c r="AB93" s="2"/>
    </row>
    <row r="94" ht="18.0" customHeight="1">
      <c r="A94" s="2"/>
      <c r="B94" s="2"/>
      <c r="C94" s="2"/>
      <c r="D94" s="2"/>
      <c r="E94" s="2"/>
      <c r="F94" s="2"/>
      <c r="G94" s="2"/>
      <c r="H94" s="2"/>
      <c r="I94" s="2"/>
      <c r="J94" s="2"/>
      <c r="K94" s="2"/>
      <c r="L94" s="21"/>
      <c r="M94" s="22">
        <f>IF(OR(S94="N/A",ISBLANK(S94),T94&lt;&gt;"Yes"),IF(OR(R94="Critical",R94="High"),L94+30,IF(R94="Moderate",L94+90,IF(R94="Low",L94+180,""))),IF(OR(S94="Critical",S94="High"),L94+30,IF(S94="Moderate",L94+90,IF(S94="Low",L94+180,""))))</f>
      </c>
      <c r="N94" s="21"/>
      <c r="O94" s="2"/>
      <c r="P94" s="21"/>
      <c r="Q94" s="2"/>
      <c r="R94" s="2"/>
      <c r="S94" s="2"/>
      <c r="T94" s="2"/>
      <c r="U94" s="2"/>
      <c r="V94" s="2"/>
      <c r="W94" s="2"/>
      <c r="X94" s="2"/>
      <c r="Y94" s="2"/>
      <c r="Z94" s="2"/>
      <c r="AA94" s="21"/>
      <c r="AB94" s="2"/>
    </row>
    <row r="95" ht="18.0" customHeight="1">
      <c r="A95" s="2"/>
      <c r="B95" s="2"/>
      <c r="C95" s="2"/>
      <c r="D95" s="2"/>
      <c r="E95" s="2"/>
      <c r="F95" s="2"/>
      <c r="G95" s="2"/>
      <c r="H95" s="2"/>
      <c r="I95" s="2"/>
      <c r="J95" s="2"/>
      <c r="K95" s="2"/>
      <c r="L95" s="21"/>
      <c r="M95" s="22">
        <f>IF(OR(S95="N/A",ISBLANK(S95),T95&lt;&gt;"Yes"),IF(OR(R95="Critical",R95="High"),L95+30,IF(R95="Moderate",L95+90,IF(R95="Low",L95+180,""))),IF(OR(S95="Critical",S95="High"),L95+30,IF(S95="Moderate",L95+90,IF(S95="Low",L95+180,""))))</f>
      </c>
      <c r="N95" s="21"/>
      <c r="O95" s="2"/>
      <c r="P95" s="21"/>
      <c r="Q95" s="2"/>
      <c r="R95" s="2"/>
      <c r="S95" s="2"/>
      <c r="T95" s="2"/>
      <c r="U95" s="2"/>
      <c r="V95" s="2"/>
      <c r="W95" s="2"/>
      <c r="X95" s="2"/>
      <c r="Y95" s="2"/>
      <c r="Z95" s="2"/>
      <c r="AA95" s="21"/>
      <c r="AB95" s="2"/>
    </row>
    <row r="96" ht="18.0" customHeight="1">
      <c r="A96" s="2"/>
      <c r="B96" s="2"/>
      <c r="C96" s="2"/>
      <c r="D96" s="2"/>
      <c r="E96" s="2"/>
      <c r="F96" s="2"/>
      <c r="G96" s="2"/>
      <c r="H96" s="2"/>
      <c r="I96" s="2"/>
      <c r="J96" s="2"/>
      <c r="K96" s="2"/>
      <c r="L96" s="21"/>
      <c r="M96" s="22">
        <f>IF(OR(S96="N/A",ISBLANK(S96),T96&lt;&gt;"Yes"),IF(OR(R96="Critical",R96="High"),L96+30,IF(R96="Moderate",L96+90,IF(R96="Low",L96+180,""))),IF(OR(S96="Critical",S96="High"),L96+30,IF(S96="Moderate",L96+90,IF(S96="Low",L96+180,""))))</f>
      </c>
      <c r="N96" s="21"/>
      <c r="O96" s="2"/>
      <c r="P96" s="21"/>
      <c r="Q96" s="2"/>
      <c r="R96" s="2"/>
      <c r="S96" s="2"/>
      <c r="T96" s="2"/>
      <c r="U96" s="2"/>
      <c r="V96" s="2"/>
      <c r="W96" s="2"/>
      <c r="X96" s="2"/>
      <c r="Y96" s="2"/>
      <c r="Z96" s="2"/>
      <c r="AA96" s="21"/>
      <c r="AB96" s="2"/>
    </row>
    <row r="97" ht="18.0" customHeight="1">
      <c r="A97" s="2"/>
      <c r="B97" s="2"/>
      <c r="C97" s="2"/>
      <c r="D97" s="2"/>
      <c r="E97" s="2"/>
      <c r="F97" s="2"/>
      <c r="G97" s="2"/>
      <c r="H97" s="2"/>
      <c r="I97" s="2"/>
      <c r="J97" s="2"/>
      <c r="K97" s="2"/>
      <c r="L97" s="21"/>
      <c r="M97" s="22">
        <f>IF(OR(S97="N/A",ISBLANK(S97),T97&lt;&gt;"Yes"),IF(OR(R97="Critical",R97="High"),L97+30,IF(R97="Moderate",L97+90,IF(R97="Low",L97+180,""))),IF(OR(S97="Critical",S97="High"),L97+30,IF(S97="Moderate",L97+90,IF(S97="Low",L97+180,""))))</f>
      </c>
      <c r="N97" s="21"/>
      <c r="O97" s="2"/>
      <c r="P97" s="21"/>
      <c r="Q97" s="2"/>
      <c r="R97" s="2"/>
      <c r="S97" s="2"/>
      <c r="T97" s="2"/>
      <c r="U97" s="2"/>
      <c r="V97" s="2"/>
      <c r="W97" s="2"/>
      <c r="X97" s="2"/>
      <c r="Y97" s="2"/>
      <c r="Z97" s="2"/>
      <c r="AA97" s="21"/>
      <c r="AB97" s="2"/>
    </row>
    <row r="98" ht="18.0" customHeight="1">
      <c r="A98" s="2"/>
      <c r="B98" s="2"/>
      <c r="C98" s="2"/>
      <c r="D98" s="2"/>
      <c r="E98" s="2"/>
      <c r="F98" s="2"/>
      <c r="G98" s="2"/>
      <c r="H98" s="2"/>
      <c r="I98" s="2"/>
      <c r="J98" s="2"/>
      <c r="K98" s="2"/>
      <c r="L98" s="21"/>
      <c r="M98" s="22">
        <f>IF(OR(S98="N/A",ISBLANK(S98),T98&lt;&gt;"Yes"),IF(OR(R98="Critical",R98="High"),L98+30,IF(R98="Moderate",L98+90,IF(R98="Low",L98+180,""))),IF(OR(S98="Critical",S98="High"),L98+30,IF(S98="Moderate",L98+90,IF(S98="Low",L98+180,""))))</f>
      </c>
      <c r="N98" s="21"/>
      <c r="O98" s="2"/>
      <c r="P98" s="21"/>
      <c r="Q98" s="2"/>
      <c r="R98" s="2"/>
      <c r="S98" s="2"/>
      <c r="T98" s="2"/>
      <c r="U98" s="2"/>
      <c r="V98" s="2"/>
      <c r="W98" s="2"/>
      <c r="X98" s="2"/>
      <c r="Y98" s="2"/>
      <c r="Z98" s="2"/>
      <c r="AA98" s="21"/>
      <c r="AB98" s="2"/>
    </row>
    <row r="99" ht="18.0" customHeight="1">
      <c r="A99" s="2"/>
      <c r="B99" s="2"/>
      <c r="C99" s="2"/>
      <c r="D99" s="2"/>
      <c r="E99" s="2"/>
      <c r="F99" s="2"/>
      <c r="G99" s="2"/>
      <c r="H99" s="2"/>
      <c r="I99" s="2"/>
      <c r="J99" s="2"/>
      <c r="K99" s="2"/>
      <c r="L99" s="21"/>
      <c r="M99" s="22">
        <f>IF(OR(S99="N/A",ISBLANK(S99),T99&lt;&gt;"Yes"),IF(OR(R99="Critical",R99="High"),L99+30,IF(R99="Moderate",L99+90,IF(R99="Low",L99+180,""))),IF(OR(S99="Critical",S99="High"),L99+30,IF(S99="Moderate",L99+90,IF(S99="Low",L99+180,""))))</f>
      </c>
      <c r="N99" s="21"/>
      <c r="O99" s="2"/>
      <c r="P99" s="21"/>
      <c r="Q99" s="2"/>
      <c r="R99" s="2"/>
      <c r="S99" s="2"/>
      <c r="T99" s="2"/>
      <c r="U99" s="2"/>
      <c r="V99" s="2"/>
      <c r="W99" s="2"/>
      <c r="X99" s="2"/>
      <c r="Y99" s="2"/>
      <c r="Z99" s="2"/>
      <c r="AA99" s="21"/>
      <c r="AB99" s="2"/>
    </row>
    <row r="100" ht="18.0" customHeight="1">
      <c r="A100" s="2"/>
      <c r="B100" s="2"/>
      <c r="C100" s="2"/>
      <c r="D100" s="2"/>
      <c r="E100" s="2"/>
      <c r="F100" s="2"/>
      <c r="G100" s="2"/>
      <c r="H100" s="2"/>
      <c r="I100" s="2"/>
      <c r="J100" s="2"/>
      <c r="K100" s="2"/>
      <c r="L100" s="21"/>
      <c r="M100" s="22">
        <f>IF(OR(S100="N/A",ISBLANK(S100),T100&lt;&gt;"Yes"),IF(OR(R100="Critical",R100="High"),L100+30,IF(R100="Moderate",L100+90,IF(R100="Low",L100+180,""))),IF(OR(S100="Critical",S100="High"),L100+30,IF(S100="Moderate",L100+90,IF(S100="Low",L100+180,""))))</f>
      </c>
      <c r="N100" s="21"/>
      <c r="O100" s="2"/>
      <c r="P100" s="21"/>
      <c r="Q100" s="2"/>
      <c r="R100" s="2"/>
      <c r="S100" s="2"/>
      <c r="T100" s="2"/>
      <c r="U100" s="2"/>
      <c r="V100" s="2"/>
      <c r="W100" s="2"/>
      <c r="X100" s="2"/>
      <c r="Y100" s="2"/>
      <c r="Z100" s="2"/>
      <c r="AA100" s="21"/>
      <c r="AB100" s="2"/>
    </row>
    <row r="101" ht="18.0" customHeight="1">
      <c r="A101" s="2"/>
      <c r="B101" s="2"/>
      <c r="C101" s="2"/>
      <c r="D101" s="2"/>
      <c r="E101" s="2"/>
      <c r="F101" s="2"/>
      <c r="G101" s="2"/>
      <c r="H101" s="2"/>
      <c r="I101" s="2"/>
      <c r="J101" s="2"/>
      <c r="K101" s="2"/>
      <c r="L101" s="21"/>
      <c r="M101" s="22">
        <f>IF(OR(S101="N/A",ISBLANK(S101),T101&lt;&gt;"Yes"),IF(OR(R101="Critical",R101="High"),L101+30,IF(R101="Moderate",L101+90,IF(R101="Low",L101+180,""))),IF(OR(S101="Critical",S101="High"),L101+30,IF(S101="Moderate",L101+90,IF(S101="Low",L101+180,""))))</f>
      </c>
      <c r="N101" s="21"/>
      <c r="O101" s="2"/>
      <c r="P101" s="21"/>
      <c r="Q101" s="2"/>
      <c r="R101" s="2"/>
      <c r="S101" s="2"/>
      <c r="T101" s="2"/>
      <c r="U101" s="2"/>
      <c r="V101" s="2"/>
      <c r="W101" s="2"/>
      <c r="X101" s="2"/>
      <c r="Y101" s="2"/>
      <c r="Z101" s="2"/>
      <c r="AA101" s="21"/>
      <c r="AB101" s="2"/>
    </row>
    <row r="102" ht="18.0" customHeight="1">
      <c r="A102" s="2"/>
      <c r="B102" s="2"/>
      <c r="C102" s="2"/>
      <c r="D102" s="2"/>
      <c r="E102" s="2"/>
      <c r="F102" s="2"/>
      <c r="G102" s="2"/>
      <c r="H102" s="2"/>
      <c r="I102" s="2"/>
      <c r="J102" s="2"/>
      <c r="K102" s="2"/>
      <c r="L102" s="21"/>
      <c r="M102" s="22">
        <f>IF(OR(S102="N/A",ISBLANK(S102),T102&lt;&gt;"Yes"),IF(OR(R102="Critical",R102="High"),L102+30,IF(R102="Moderate",L102+90,IF(R102="Low",L102+180,""))),IF(OR(S102="Critical",S102="High"),L102+30,IF(S102="Moderate",L102+90,IF(S102="Low",L102+180,""))))</f>
      </c>
      <c r="N102" s="21"/>
      <c r="O102" s="2"/>
      <c r="P102" s="21"/>
      <c r="Q102" s="2"/>
      <c r="R102" s="2"/>
      <c r="S102" s="2"/>
      <c r="T102" s="2"/>
      <c r="U102" s="2"/>
      <c r="V102" s="2"/>
      <c r="W102" s="2"/>
      <c r="X102" s="2"/>
      <c r="Y102" s="2"/>
      <c r="Z102" s="2"/>
      <c r="AA102" s="21"/>
      <c r="AB102" s="2"/>
    </row>
    <row r="103" ht="18.0" customHeight="1">
      <c r="A103" s="2"/>
      <c r="B103" s="2"/>
      <c r="C103" s="2"/>
      <c r="D103" s="2"/>
      <c r="E103" s="2"/>
      <c r="F103" s="2"/>
      <c r="G103" s="2"/>
      <c r="H103" s="2"/>
      <c r="I103" s="2"/>
      <c r="J103" s="2"/>
      <c r="K103" s="2"/>
      <c r="L103" s="21"/>
      <c r="M103" s="22">
        <f>IF(OR(S103="N/A",ISBLANK(S103),T103&lt;&gt;"Yes"),IF(OR(R103="Critical",R103="High"),L103+30,IF(R103="Moderate",L103+90,IF(R103="Low",L103+180,""))),IF(OR(S103="Critical",S103="High"),L103+30,IF(S103="Moderate",L103+90,IF(S103="Low",L103+180,""))))</f>
      </c>
      <c r="N103" s="21"/>
      <c r="O103" s="2"/>
      <c r="P103" s="21"/>
      <c r="Q103" s="2"/>
      <c r="R103" s="2"/>
      <c r="S103" s="2"/>
      <c r="T103" s="2"/>
      <c r="U103" s="2"/>
      <c r="V103" s="2"/>
      <c r="W103" s="2"/>
      <c r="X103" s="2"/>
      <c r="Y103" s="2"/>
      <c r="Z103" s="2"/>
      <c r="AA103" s="21"/>
      <c r="AB103" s="2"/>
    </row>
    <row r="104" ht="18.0" customHeight="1">
      <c r="A104" s="2"/>
      <c r="B104" s="2"/>
      <c r="C104" s="2"/>
      <c r="D104" s="2"/>
      <c r="E104" s="2"/>
      <c r="F104" s="2"/>
      <c r="G104" s="2"/>
      <c r="H104" s="2"/>
      <c r="I104" s="2"/>
      <c r="J104" s="2"/>
      <c r="K104" s="2"/>
      <c r="L104" s="21"/>
      <c r="M104" s="22">
        <f>IF(OR(S104="N/A",ISBLANK(S104),T104&lt;&gt;"Yes"),IF(OR(R104="Critical",R104="High"),L104+30,IF(R104="Moderate",L104+90,IF(R104="Low",L104+180,""))),IF(OR(S104="Critical",S104="High"),L104+30,IF(S104="Moderate",L104+90,IF(S104="Low",L104+180,""))))</f>
      </c>
      <c r="N104" s="21"/>
      <c r="O104" s="2"/>
      <c r="P104" s="21"/>
      <c r="Q104" s="2"/>
      <c r="R104" s="2"/>
      <c r="S104" s="2"/>
      <c r="T104" s="2"/>
      <c r="U104" s="2"/>
      <c r="V104" s="2"/>
      <c r="W104" s="2"/>
      <c r="X104" s="2"/>
      <c r="Y104" s="2"/>
      <c r="Z104" s="2"/>
      <c r="AA104" s="21"/>
      <c r="AB104" s="2"/>
    </row>
  </sheetData>
  <conditionalFormatting sqref="B3:N3 P3:AB3 A5:A1055 B5:AB4017">
    <cfRule type="expression" dxfId="0" priority="1">
      <formula>MOD(ROW(),2)=0</formula>
    </cfRule>
  </conditionalFormatting>
  <dataValidations>
    <dataValidation type="date" operator="notBetween" allowBlank="1" showInputMessage="1" showErrorMessage="1" prompt="Date" sqref="L1 L5:L4017">
      <formula1>29221.0</formula1>
      <formula2>29221.0</formula2>
    </dataValidation>
    <dataValidation type="date" operator="notBetween" allowBlank="1" showInputMessage="1" showErrorMessage="1" prompt="Date" sqref="M1 M3 M5:M4017">
      <formula1>1.0</formula1>
      <formula2>1.0</formula2>
    </dataValidation>
    <dataValidation type="list" allowBlank="1" showInputMessage="1" showErrorMessage="1" prompt="Low, Moderate, High, Critical" sqref="R1 R5:R4017">
      <formula1>"Low,Moderate,High,Critical"</formula1>
    </dataValidation>
    <dataValidation type="date" operator="greaterThan" allowBlank="1" showInputMessage="1" showErrorMessage="1" prompt="Date" sqref="N1 P1 N3 P3 AA3 N5:N4017 P5:P4017">
      <formula1>36526.0</formula1>
    </dataValidation>
    <dataValidation type="decimal" operator="notEqual" allowBlank="1" showErrorMessage="1" sqref="G1 G153:G4017">
      <formula1>-9999.0</formula1>
    </dataValidation>
    <dataValidation type="list" allowBlank="1" showInputMessage="1" showErrorMessage="1" prompt="Low, Moderate, High, Critical, N/A" sqref="S1 S5:S4017">
      <formula1>"Low,Moderate,High,Critical,N/A"</formula1>
    </dataValidation>
    <dataValidation type="list" allowBlank="1" showInputMessage="1" showErrorMessage="1" prompt="Yes,No,Pending" sqref="O1 O5:O4017">
      <formula1>"Yes,No"</formula1>
    </dataValidation>
    <dataValidation type="list" allowBlank="1" showInputMessage="1" showErrorMessage="1" prompt="Yes,No,Pending" sqref="T1:V1 T3:V3 T5:V4017">
      <formula1>"Yes,No,Pending"</formula1>
    </dataValidation>
  </dataValidations>
  <printOptions/>
  <pageMargins bottom="0.75" footer="0.0" header="0.0" left="0.7" right="0.7" top="0.75"/>
  <pageSetup orientation="portrait"/>
  <drawing r:id="rId1"/>
</worksheet>
</file>