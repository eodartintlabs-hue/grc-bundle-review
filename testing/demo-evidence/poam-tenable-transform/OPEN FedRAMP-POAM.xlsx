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 POA&amp;M Items" sheetId="1" r:id="rId5"/>
  </sheets>
  <definedNames/>
  <calcPr fullCalcOnLoad="1"/>
</workbook>
</file>

<file path=xl/sharedStrings.xml><?xml version="1.0" encoding="utf-8"?>
<sst xmlns="http://schemas.openxmlformats.org/spreadsheetml/2006/main" count="681" uniqueCount="681">
  <si>
    <t>POAM ID</t>
  </si>
  <si>
    <t>Controls</t>
  </si>
  <si>
    <t>Weakness Name</t>
  </si>
  <si>
    <t>Weakness Description</t>
  </si>
  <si>
    <t>Weakness Detector Source</t>
  </si>
  <si>
    <t>Weakness Source Identifier</t>
  </si>
  <si>
    <t>Asset Identifier</t>
  </si>
  <si>
    <t>Point of Contact</t>
  </si>
  <si>
    <t>Resources Required</t>
  </si>
  <si>
    <t>Remediation Plan</t>
  </si>
  <si>
    <t>Original Detection Date</t>
  </si>
  <si>
    <t>Scheduled Completion Date</t>
  </si>
  <si>
    <t>Status Date</t>
  </si>
  <si>
    <t>Vendor Dependency</t>
  </si>
  <si>
    <t>Last Vendor Check-in Date</t>
  </si>
  <si>
    <t>Vendor Dependent Product Name</t>
  </si>
  <si>
    <t>Original Risk Rating</t>
  </si>
  <si>
    <t>Adjusted Risk Rating</t>
  </si>
  <si>
    <t>Risk Adjustment</t>
  </si>
  <si>
    <t>False Positive</t>
  </si>
  <si>
    <t>Operational Requirement</t>
  </si>
  <si>
    <t>Deviation Rationale</t>
  </si>
  <si>
    <t>Supporting Documents</t>
  </si>
  <si>
    <t>Comments</t>
  </si>
  <si>
    <t>Binding Operational Directive 22-01 tracking</t>
  </si>
  <si>
    <t>Binding Operational Directive 22-01 Due Date</t>
  </si>
  <si>
    <t>CVE</t>
  </si>
  <si>
    <t>Guidance</t>
  </si>
  <si>
    <r>
      <rPr>
        <rFont val="Arial"/>
        <color rgb="FF000000"/>
        <sz val="10.0"/>
      </rPr>
      <t xml:space="preserve">Assign a </t>
    </r>
    <r>
      <rPr>
        <rFont val="Arial"/>
        <b/>
        <color rgb="FF000000"/>
        <sz val="10.0"/>
      </rPr>
      <t>unique</t>
    </r>
    <r>
      <rPr>
        <rFont val="Arial"/>
        <color rgb="FF000000"/>
        <sz val="10.0"/>
      </rPr>
      <t xml:space="preserve"> identifier to each POA&amp;M item. This can be in any format or
naming convention that produces uniqueness. NOTE: During initial and annual assessments, assessors are instructed to use the CSP-established schema to assign a unique identifier (ID) to each RET item.</t>
    </r>
  </si>
  <si>
    <t>Enter the 800-53 control or controls that is/are affected by the weakness. If multiple controls are affected, separate them with commas.</t>
  </si>
  <si>
    <t>Enter a short description of the weakness. For scan-related vulnerabilities, use the name provided by the scanner.</t>
  </si>
  <si>
    <t>Enter a full description of the weakness and other relevant information. Security weaknesses must be accurately described so that they can be understood by the CSP and Authorizing Official (AO).
If a test was performed using a tool/scanner, use the description provided by the tool/scanner.</t>
  </si>
  <si>
    <t>Enter the scanner name or other source that detected the weakness.</t>
  </si>
  <si>
    <t xml:space="preserve">For scan-related vulnerabilities, include the vulnerability identifier provided by the scanner (plugin ID). Otherwise, leave this field blank. Do NOT enter N/A or None.  </t>
  </si>
  <si>
    <t xml:space="preserve">Enter the corresponding unique asset ID specified in the Integrated Inventory Workbook (IIW). This is a unique string associated with the asset; it could be an IP address or any arbitrary naming scheme. Include the complete identifier name (no short hand). If multiple assets are affected, separate each by a new line (Alt+Enter). </t>
  </si>
  <si>
    <t>Person responsible for resolving the weakness.</t>
  </si>
  <si>
    <t>If needed, specify additional resources required resolve the weakness.</t>
  </si>
  <si>
    <t>Describe the plan to resolve the weakness, especially if it cannot be fully remediated within the required timeframe. Provide enough detail to help agency customers understand the actions required, why more time is needed, and when the weakness will be fully remediated.</t>
  </si>
  <si>
    <t>Enter the date the weakness was first identified (also known as the Discovery Date). This date never changes.</t>
  </si>
  <si>
    <t>The scheduled completion date is automatically calculated based on the original detection date and risk rating. Do not modify this date. Note changes to the remediation plan and timeline in the Remediation Plan column.</t>
  </si>
  <si>
    <t>Enter the date this POA&amp;M item was last changed or closed. NOTE: Closed POA&amp;Ms are moved to the Closed POA&amp;M Items tab. Simply cut the entire row and paste it in the Closed POA&amp;M Items tab.</t>
  </si>
  <si>
    <t>If remediation is dependent on a downstream vendor, enter Yes. Otherwise, enter No.</t>
  </si>
  <si>
    <t>Enter the date of last vendor check-in, if applicable.</t>
  </si>
  <si>
    <t xml:space="preserve">Enter the name of the vendor. If Vendor Dependency is Yes, this field must be populated. If Vendor Dependency is No, leave this field blank. Do NOT enter N/A or None.  </t>
  </si>
  <si>
    <t>For scan-related vulnerabilities, enter the original risk rating from the scanner. For non-scan weaknesses, enter the risk rating provided by the assessor or determined through the risk analysis (i.e., likelihood/impact).</t>
  </si>
  <si>
    <t xml:space="preserve">Enter the adjusted risk rating if applicable. Otherwise, leave this field blank. Do NOT enter N/A or None.  </t>
  </si>
  <si>
    <t xml:space="preserve">If there is no risk adjustment (RA), select No from the drop-down.
If the RA is pending agency approval, select Pending. 
If the RA has been approved, select Yes. </t>
  </si>
  <si>
    <t>A false positive (FP) occurs when a weakness is identified that does not actually exist on the system. This happens from time-to-time with scanning tools. If the weakness is not a FP, select No from the drop-down.
If the FP is pending agency approval, select Pending. 
If the FP has been approved, select Yes and move the POA&amp;M item to the Closed tab.</t>
  </si>
  <si>
    <t xml:space="preserve">An operational requirement (OR) occurs when there is a weakness in the system that cannot be corrected without impacting the full operation of the system. 
If the weakness is not considered an OR, select No from the drop-down.
If the OR is pending agency approval, select Pending. 
If the OR has been approved, select Yes. </t>
  </si>
  <si>
    <t>Explain the rationale for a risk adjustment or an operational requirement, including a description of any mitigating factors or compensating controls that could downgrade the likelihood or risk exposure. Also indicate whether the affected component(s) is/are internally or externally facing. If a RA or OR does not exist for the weakness, leave this field blank. Do NOT enter N/A or None.</t>
  </si>
  <si>
    <t>List any supporting documents that are associated with this item
(e.g. evidence of remediation,evidence of vendor dependency, etc)</t>
  </si>
  <si>
    <t xml:space="preserve">To ensure a complete understanding of the weakness, enter additional information not specified in other columns as appropriate. Otherwise, leave this field blank. Do NOT enter N/A or None.  </t>
  </si>
  <si>
    <t>Is this vulnerability is listed among the CISA Known Exploited Vulnerability Catalog (https://www.cisa.gov/known-exploited-vulnerabilities-catalog)</t>
  </si>
  <si>
    <t xml:space="preserve">If this vulnerability is listed among the CISA Known Exploited Vulnerability Catalog (https://www.cisa.gov/known-exploited-vulnerabilities-catalog) include the due date given by CISA for this vulnerability. Otherwise, leave this field blank. Do NOT enter N/A or None.  </t>
  </si>
  <si>
    <t>The associated CVE numbers for this vulnerability, if applicable.</t>
  </si>
  <si>
    <t>Examples</t>
  </si>
  <si>
    <t>VS-001-AC(2)
PT-204-SR(2)</t>
  </si>
  <si>
    <t>RA-5, SC-13, IR-3</t>
  </si>
  <si>
    <t>Red Hat Update for glibc security (RHSA-2021:4358)
Elevated User Privileges</t>
  </si>
  <si>
    <t xml:space="preserve">The remote host contains one or more unsupported versions of Python. Lack of support implies that no new security patches for the product will be released by the vendor. As a result, it is likely to contain security vulnerabilities.
</t>
  </si>
  <si>
    <t>&lt;name of&gt; scanner, manual testing, penetration testing</t>
  </si>
  <si>
    <t>172.246.15.3 (80/TCP)
http://vuln.gov/queries
172.246.16.17 (80/TCP)</t>
  </si>
  <si>
    <t>John Doe -  Example CSP</t>
  </si>
  <si>
    <t xml:space="preserve">Will be resolved during &lt;date&gt; patching cycle.
OR
Migrate to new technical solution. Planned milestones are:
1) Milestone 1
2) Milestone 2
3) …...
</t>
  </si>
  <si>
    <t>Yes or No</t>
  </si>
  <si>
    <t>"Vendor XYZ" or leave blank</t>
  </si>
  <si>
    <t>Low, Moderate, High, Critical</t>
  </si>
  <si>
    <t>Low, Moderate, High, or leave blank</t>
  </si>
  <si>
    <t>Yes</t>
  </si>
  <si>
    <t>No</t>
  </si>
  <si>
    <t>Pending</t>
  </si>
  <si>
    <t>Rationale description or leave blank</t>
  </si>
  <si>
    <t>File name and location</t>
  </si>
  <si>
    <t>Additional comments or leave blank</t>
  </si>
  <si>
    <t>Yes or leave blank</t>
  </si>
  <si>
    <t>CVE-1234-1234</t>
  </si>
  <si>
    <t>Mandatory or Situational</t>
  </si>
  <si>
    <t>Mandatory</t>
  </si>
  <si>
    <t>Situational</t>
  </si>
  <si>
    <t xml:space="preserve">Mandatory
</t>
  </si>
  <si>
    <t>VULN-10407</t>
  </si>
  <si>
    <t>RA-5, SI-2, IA-2, AC-6</t>
  </si>
  <si>
    <t>OpenSSH Server Signal Handler Race Condition (RegreSSHion) [Check #01]</t>
  </si>
  <si>
    <t xml:space="preserve">The remote service on 10.42.10.11:22 is affected by a critical-severity security finding.
OpenSSH Server Signal Handler Race Condition (RegreSSHion) [Check #01] detected on 10.42.10.11 (22/TCP). Remediation is required to maintain FedRAMP High compliance.
[Scanner Evidence]: Service banner / package check confirmed vulnerable state on 10.42.10.11:22.</t>
  </si>
  <si>
    <t>Tenable Nessus</t>
  </si>
  <si>
    <t>10.42.10.11 (22/TCP)</t>
  </si>
  <si>
    <t>Infrastructure &amp; Linux Security Team</t>
  </si>
  <si>
    <t>Standard Engineering Allocation</t>
  </si>
  <si>
    <t xml:space="preserve">1. Upgrade OpenSSH to 9.8p1 or later.
2. Re-scan 10.42.10.11 with Tenable Nessus to confirm closure.
Reference: https://www.tenable.com/plugins/nessus/170100</t>
  </si>
  <si>
    <t>Critical</t>
  </si>
  <si>
    <t>tenable_september_scan.csv</t>
  </si>
  <si>
    <t>Tracked in active ConMon cycle.</t>
  </si>
  <si>
    <t>CVE-2023-38408</t>
  </si>
  <si>
    <t>VULN-10414</t>
  </si>
  <si>
    <t>RA-5, SI-2</t>
  </si>
  <si>
    <t>Apache HTTP Server mod_rewrite SSRF &amp; Path Traversal [Check #02]</t>
  </si>
  <si>
    <t xml:space="preserve">The remote service on 10.42.10.12:443 is affected by a critical-severity security finding.
Apache HTTP Server mod_rewrite SSRF &amp; Path Traversal [Check #02] detected on 10.42.10.12 (443/TCP). Remediation is required to maintain FedRAMP High compliance.
[Scanner Evidence]: Service banner / package check confirmed vulnerable state on 10.42.10.12:443.</t>
  </si>
  <si>
    <t>10.42.10.12 (443/TCP)</t>
  </si>
  <si>
    <t xml:space="preserve">1. Upgrade Apache httpd to 2.4.62 or later.
2. Re-scan 10.42.10.12 with Tenable Nessus to confirm closure.
Reference: https://www.tenable.com/plugins/nessus/170101</t>
  </si>
  <si>
    <t>CVE-2021-44228</t>
  </si>
  <si>
    <t>COMP-20111</t>
  </si>
  <si>
    <t>RA-5, SI-2, SC-8, SC-13</t>
  </si>
  <si>
    <t>TLS Version 1.0/1.1 and Weak 3DES-CBC Cipher Suites Enabled [Check #03]</t>
  </si>
  <si>
    <t xml:space="preserve">The remote service on 10.42.10.13:443 is affected by a critical-severity security finding.
TLS Version 1.0/1.1 and Weak 3DES-CBC Cipher Suites Enabled [Check #03] detected on 10.42.10.13 (443/TCP). Remediation is required to maintain FedRAMP High compliance.
[Scanner Evidence]: Service banner / package check confirmed vulnerable state on 10.42.10.13:443.</t>
  </si>
  <si>
    <t>10.42.10.13 (443/TCP)</t>
  </si>
  <si>
    <t xml:space="preserve">1. Disable TLS 1.0/1.1 and 3DES-CBC ciphers in TLS configuration.
2. Re-scan 10.42.10.13 with Tenable Nessus to confirm closure.
Reference: https://www.tenable.com/plugins/nessus/170102</t>
  </si>
  <si>
    <t>CVE-2024-6387</t>
  </si>
  <si>
    <t>VULN-10421</t>
  </si>
  <si>
    <t>Linux Kernel Netfilter nf_tables Use-After-Free Privilege Escalation [Check #04]</t>
  </si>
  <si>
    <t xml:space="preserve">The remote service on 10.42.10.14:22 is affected by a critical-severity security finding.
Linux Kernel Netfilter nf_tables Use-After-Free Privilege Escalation [Check #04] detected on 10.42.10.14 (22/TCP). Remediation is required to maintain FedRAMP High compliance.
[Scanner Evidence]: Service banner / package check confirmed vulnerable state on 10.42.10.14:22.</t>
  </si>
  <si>
    <t>10.42.10.14 (22/TCP)</t>
  </si>
  <si>
    <t xml:space="preserve">1. Update kernel package to vendor-patched release and reboot.
2. Re-scan 10.42.10.14 with Tenable Nessus to confirm closure.
Reference: https://www.tenable.com/plugins/nessus/170103</t>
  </si>
  <si>
    <t>CVE-2023-44487</t>
  </si>
  <si>
    <t>COMP-20122</t>
  </si>
  <si>
    <t>PostgreSQL TLS Certificate Hostname Verification Bypass [Check #05]</t>
  </si>
  <si>
    <t xml:space="preserve">The remote service on 10.42.10.15:5432 is affected by a critical-severity security finding.
PostgreSQL TLS Certificate Hostname Verification Bypass [Check #05] detected on 10.42.10.15 (5432/TCP). Remediation is required to maintain FedRAMP High compliance.
[Scanner Evidence]: Service banner / package check confirmed vulnerable state on 10.42.10.15:5432.</t>
  </si>
  <si>
    <t>10.42.10.15 (5432/TCP)</t>
  </si>
  <si>
    <t xml:space="preserve">1. Enforce verify-full in pg_hba.conf and update postgresql-server.
2. Re-scan 10.42.10.15 with Tenable Nessus to confirm closure.
Reference: https://www.tenable.com/plugins/nessus/170104</t>
  </si>
  <si>
    <t>CVE-2024-3094</t>
  </si>
  <si>
    <t>VULN-10428</t>
  </si>
  <si>
    <t>NGINX HTTP/2 Rapid Reset Denial of Service [Check #06]</t>
  </si>
  <si>
    <t xml:space="preserve">The remote service on 10.42.10.16:8443 is affected by a critical-severity security finding.
NGINX HTTP/2 Rapid Reset Denial of Service [Check #06] detected on 10.42.10.16 (8443/TCP). Remediation is required to maintain FedRAMP High compliance.
[Scanner Evidence]: Service banner / package check confirmed vulnerable state on 10.42.10.16:8443.</t>
  </si>
  <si>
    <t>10.42.10.16 (8443/TCP)</t>
  </si>
  <si>
    <t xml:space="preserve">1. Upgrade NGINX to 1.25.3+ and limit http2_max_concurrent_streams.
2. Re-scan 10.42.10.16 with Tenable Nessus to confirm closure.
Reference: https://www.tenable.com/plugins/nessus/170105</t>
  </si>
  <si>
    <t>CVE-2022-42889</t>
  </si>
  <si>
    <t>COMP-20133</t>
  </si>
  <si>
    <t>RA-5, SI-2, SC-13, IA-2, AC-6</t>
  </si>
  <si>
    <t>SSH Weak Key Exchange &amp; MAC Algorithms Enabled (FIPS 140-3) [Check #07]</t>
  </si>
  <si>
    <t xml:space="preserve">The remote service on 10.42.10.17:22 is affected by a critical-severity security finding.
SSH Weak Key Exchange &amp; MAC Algorithms Enabled (FIPS 140-3) [Check #07] detected on 10.42.10.17 (22/TCP). Remediation is required to maintain FedRAMP High compliance.
[Scanner Evidence]: Service banner / package check confirmed vulnerable state on 10.42.10.17:22.</t>
  </si>
  <si>
    <t>10.42.10.17 (22/TCP)</t>
  </si>
  <si>
    <t xml:space="preserve">1. Restrict KexAlgorithms and MACs in /etc/ssh/sshd_config to FIPS-approved suites.
2. Re-scan 10.42.10.17 with Tenable Nessus to confirm closure.
Reference: https://www.tenable.com/plugins/nessus/170106</t>
  </si>
  <si>
    <t>CVE-2025-4106</t>
  </si>
  <si>
    <t>VULN-10435</t>
  </si>
  <si>
    <t>glibc iconv ISO-2022-CN-EXT Buffer Overflow (CVE-2024-2961) [Check #08]</t>
  </si>
  <si>
    <t xml:space="preserve">The remote service on 10.42.10.18:22 is affected by a critical-severity security finding.
glibc iconv ISO-2022-CN-EXT Buffer Overflow (CVE-2024-2961) [Check #08] detected on 10.42.10.18 (22/TCP). Remediation is required to maintain FedRAMP High compliance.
[Scanner Evidence]: Service banner / package check confirmed vulnerable state on 10.42.10.18:22.</t>
  </si>
  <si>
    <t>10.42.10.18 (22/TCP)</t>
  </si>
  <si>
    <t xml:space="preserve">1. Upgrade glibc packages to 2.39-4 or patched distribution build.
2. Re-scan 10.42.10.18 with Tenable Nessus to confirm closure.
Reference: https://www.tenable.com/plugins/nessus/170107</t>
  </si>
  <si>
    <t>CVE-2025-4107, CVE-2024-2961</t>
  </si>
  <si>
    <t>PENT-30513</t>
  </si>
  <si>
    <t>Unauthenticated Redis Telemetry Endpoint Exposed on Internal VLAN [Check #09]</t>
  </si>
  <si>
    <t xml:space="preserve">The remote service on 10.42.10.19:6379 is affected by a critical-severity security finding.
Unauthenticated Redis Telemetry Endpoint Exposed on Internal VLAN [Check #09] detected on 10.42.10.19 (6379/TCP). Remediation is required to maintain FedRAMP High compliance.
[Scanner Evidence]: Service banner / package check confirmed vulnerable state on 10.42.10.19:6379.</t>
  </si>
  <si>
    <t>10.42.10.19 (6379/TCP)</t>
  </si>
  <si>
    <t xml:space="preserve">1. Enable requirepass/ACL authentication and bind Redis to loopback.
2. Re-scan 10.42.10.19 with Tenable Nessus to confirm closure.
Reference: https://www.tenable.com/plugins/nessus/170108</t>
  </si>
  <si>
    <t>CVE-2025-4108</t>
  </si>
  <si>
    <t>VULN-10442</t>
  </si>
  <si>
    <t>sudo Heap-Based Buffer Overflow Privilege Escalation [Check #10]</t>
  </si>
  <si>
    <t xml:space="preserve">The remote service on 10.42.10.20:22 is affected by a critical-severity security finding.
sudo Heap-Based Buffer Overflow Privilege Escalation [Check #10] detected on 10.42.10.20 (22/TCP). Remediation is required to maintain FedRAMP High compliance.
[Scanner Evidence]: Service banner / package check confirmed vulnerable state on 10.42.10.20:22.</t>
  </si>
  <si>
    <t>10.42.10.20 (22/TCP)</t>
  </si>
  <si>
    <t xml:space="preserve">1. Upgrade sudo to 1.9.15p5 or later.
2. Re-scan 10.42.10.20 with Tenable Nessus to confirm closure.
Reference: https://www.tenable.com/plugins/nessus/170109</t>
  </si>
  <si>
    <t>CVE-2025-4109</t>
  </si>
  <si>
    <t>VULN-10449</t>
  </si>
  <si>
    <t>OpenSSH Server Signal Handler Race Condition (RegreSSHion) [Check #11]</t>
  </si>
  <si>
    <t xml:space="preserve">The remote service on 10.42.10.21:22 is affected by a critical-severity security finding.
OpenSSH Server Signal Handler Race Condition (RegreSSHion) [Check #11] detected on 10.42.10.21 (22/TCP). Remediation is required to maintain FedRAMP High compliance.
[Scanner Evidence]: Service banner / package check confirmed vulnerable state on 10.42.10.21:22.</t>
  </si>
  <si>
    <t>10.42.10.21 (22/TCP)</t>
  </si>
  <si>
    <t xml:space="preserve">1. Upgrade OpenSSH to 9.8p1 or later.
2. Re-scan 10.42.10.21 with Tenable Nessus to confirm closure.
Reference: https://www.tenable.com/plugins/nessus/170110</t>
  </si>
  <si>
    <t>CVE-2025-4110</t>
  </si>
  <si>
    <t>VULN-10456</t>
  </si>
  <si>
    <t>Apache HTTP Server mod_rewrite SSRF &amp; Path Traversal [Check #12]</t>
  </si>
  <si>
    <t xml:space="preserve">The remote service on 10.42.10.22:443 is affected by a critical-severity security finding.
Apache HTTP Server mod_rewrite SSRF &amp; Path Traversal [Check #12] detected on 10.42.10.22 (443/TCP). Remediation is required to maintain FedRAMP High compliance.
[Scanner Evidence]: Service banner / package check confirmed vulnerable state on 10.42.10.22:443.</t>
  </si>
  <si>
    <t>10.42.10.22 (443/TCP)</t>
  </si>
  <si>
    <t xml:space="preserve">1. Upgrade Apache httpd to 2.4.62 or later.
2. Re-scan 10.42.10.22 with Tenable Nessus to confirm closure.
Reference: https://www.tenable.com/plugins/nessus/170111</t>
  </si>
  <si>
    <t>CVE-2025-4111</t>
  </si>
  <si>
    <t>COMP-20144</t>
  </si>
  <si>
    <t>TLS Version 1.0/1.1 and Weak 3DES-CBC Cipher Suites Enabled [Check #13]</t>
  </si>
  <si>
    <t xml:space="preserve">The remote service on 10.42.10.23:443 is affected by a high-severity security finding.
TLS Version 1.0/1.1 and Weak 3DES-CBC Cipher Suites Enabled [Check #13] detected on 10.42.10.23 (443/TCP). Remediation is required to maintain FedRAMP High compliance.
[Scanner Evidence]: Service banner / package check confirmed vulnerable state on 10.42.10.23:443.</t>
  </si>
  <si>
    <t>10.42.10.23 (443/TCP)</t>
  </si>
  <si>
    <t xml:space="preserve">1. Disable TLS 1.0/1.1 and 3DES-CBC ciphers in TLS configuration.
2. Re-scan 10.42.10.23 with Tenable Nessus to confirm closure.
Reference: https://www.tenable.com/plugins/nessus/170112</t>
  </si>
  <si>
    <t>High</t>
  </si>
  <si>
    <t>CVE-2025-4112</t>
  </si>
  <si>
    <t>VULN-10463</t>
  </si>
  <si>
    <t>Linux Kernel Netfilter nf_tables Use-After-Free Privilege Escalation [Check #14]</t>
  </si>
  <si>
    <t xml:space="preserve">The remote service on 10.42.10.24:22 is affected by a high-severity security finding.
Linux Kernel Netfilter nf_tables Use-After-Free Privilege Escalation [Check #14] detected on 10.42.10.24 (22/TCP). Remediation is required to maintain FedRAMP High compliance.
[Scanner Evidence]: Service banner / package check confirmed vulnerable state on 10.42.10.24:22.</t>
  </si>
  <si>
    <t>10.42.10.24 (22/TCP)</t>
  </si>
  <si>
    <t xml:space="preserve">1. Update kernel package to vendor-patched release and reboot.
2. Re-scan 10.42.10.24 with Tenable Nessus to confirm closure.
Reference: https://www.tenable.com/plugins/nessus/170113</t>
  </si>
  <si>
    <t>CVE-2025-4113</t>
  </si>
  <si>
    <t>COMP-20155</t>
  </si>
  <si>
    <t>PostgreSQL TLS Certificate Hostname Verification Bypass [Check #15]</t>
  </si>
  <si>
    <t xml:space="preserve">The remote service on 10.42.10.25:5432 is affected by a high-severity security finding.
PostgreSQL TLS Certificate Hostname Verification Bypass [Check #15] detected on 10.42.10.25 (5432/TCP). Remediation is required to maintain FedRAMP High compliance.
[Scanner Evidence]: Service banner / package check confirmed vulnerable state on 10.42.10.25:5432.</t>
  </si>
  <si>
    <t>10.42.10.25 (5432/TCP)</t>
  </si>
  <si>
    <t xml:space="preserve">1. Enforce verify-full in pg_hba.conf and update postgresql-server.
2. Re-scan 10.42.10.25 with Tenable Nessus to confirm closure.
Reference: https://www.tenable.com/plugins/nessus/170114</t>
  </si>
  <si>
    <t>CVE-2025-4114</t>
  </si>
  <si>
    <t>VULN-10470</t>
  </si>
  <si>
    <t>NGINX HTTP/2 Rapid Reset Denial of Service [Check #16]</t>
  </si>
  <si>
    <t xml:space="preserve">The remote service on 10.42.10.26:8443 is affected by a high-severity security finding.
NGINX HTTP/2 Rapid Reset Denial of Service [Check #16] detected on 10.42.10.26 (8443/TCP). Remediation is required to maintain FedRAMP High compliance.
[Scanner Evidence]: Service banner / package check confirmed vulnerable state on 10.42.10.26:8443.</t>
  </si>
  <si>
    <t>10.42.10.26 (8443/TCP)</t>
  </si>
  <si>
    <t xml:space="preserve">1. Upgrade NGINX to 1.25.3+ and limit http2_max_concurrent_streams.
2. Re-scan 10.42.10.26 with Tenable Nessus to confirm closure.
Reference: https://www.tenable.com/plugins/nessus/170115</t>
  </si>
  <si>
    <t>CVE-2025-4115</t>
  </si>
  <si>
    <t>COMP-20166</t>
  </si>
  <si>
    <t>SSH Weak Key Exchange &amp; MAC Algorithms Enabled (FIPS 140-3) [Check #17]</t>
  </si>
  <si>
    <t xml:space="preserve">The remote service on 10.42.10.27:22 is affected by a high-severity security finding.
SSH Weak Key Exchange &amp; MAC Algorithms Enabled (FIPS 140-3) [Check #17] detected on 10.42.10.27 (22/TCP). Remediation is required to maintain FedRAMP High compliance.
[Scanner Evidence]: Service banner / package check confirmed vulnerable state on 10.42.10.27:22.</t>
  </si>
  <si>
    <t>10.42.10.27 (22/TCP)</t>
  </si>
  <si>
    <t xml:space="preserve">1. Restrict KexAlgorithms and MACs in /etc/ssh/sshd_config to FIPS-approved suites.
2. Re-scan 10.42.10.27 with Tenable Nessus to confirm closure.
Reference: https://www.tenable.com/plugins/nessus/170116</t>
  </si>
  <si>
    <t>CVE-2025-4116</t>
  </si>
  <si>
    <t>VULN-10477</t>
  </si>
  <si>
    <t>glibc iconv ISO-2022-CN-EXT Buffer Overflow (CVE-2024-2961) [Check #18]</t>
  </si>
  <si>
    <t xml:space="preserve">The remote service on 10.42.10.28:22 is affected by a high-severity security finding.
glibc iconv ISO-2022-CN-EXT Buffer Overflow (CVE-2024-2961) [Check #18] detected on 10.42.10.28 (22/TCP). Remediation is required to maintain FedRAMP High compliance.
[Scanner Evidence]: Service banner / package check confirmed vulnerable state on 10.42.10.28:22.</t>
  </si>
  <si>
    <t>10.42.10.28 (22/TCP)</t>
  </si>
  <si>
    <t xml:space="preserve">1. Upgrade glibc packages to 2.39-4 or patched distribution build.
2. Re-scan 10.42.10.28 with Tenable Nessus to confirm closure.
Reference: https://www.tenable.com/plugins/nessus/170117</t>
  </si>
  <si>
    <t>CVE-2025-4117, CVE-2024-2961</t>
  </si>
  <si>
    <t>PENT-30526</t>
  </si>
  <si>
    <t>Unauthenticated Redis Telemetry Endpoint Exposed on Internal VLAN [Check #19]</t>
  </si>
  <si>
    <t xml:space="preserve">The remote service on 10.42.10.29:6379 is affected by a high-severity security finding.
Unauthenticated Redis Telemetry Endpoint Exposed on Internal VLAN [Check #19] detected on 10.42.10.29 (6379/TCP). Remediation is required to maintain FedRAMP High compliance.
[Scanner Evidence]: Service banner / package check confirmed vulnerable state on 10.42.10.29:6379.</t>
  </si>
  <si>
    <t>10.42.10.29 (6379/TCP)</t>
  </si>
  <si>
    <t xml:space="preserve">1. Enable requirepass/ACL authentication and bind Redis to loopback.
2. Re-scan 10.42.10.29 with Tenable Nessus to confirm closure.
Reference: https://www.tenable.com/plugins/nessus/170118</t>
  </si>
  <si>
    <t>CVE-2025-4118</t>
  </si>
  <si>
    <t>VULN-10484</t>
  </si>
  <si>
    <t>sudo Heap-Based Buffer Overflow Privilege Escalation [Check #20]</t>
  </si>
  <si>
    <t xml:space="preserve">The remote service on 10.42.10.30:22 is affected by a high-severity security finding.
sudo Heap-Based Buffer Overflow Privilege Escalation [Check #20] detected on 10.42.10.30 (22/TCP). Remediation is required to maintain FedRAMP High compliance.
[Scanner Evidence]: Service banner / package check confirmed vulnerable state on 10.42.10.30:22.</t>
  </si>
  <si>
    <t>10.42.10.30 (22/TCP)</t>
  </si>
  <si>
    <t xml:space="preserve">1. Upgrade sudo to 1.9.15p5 or later.
2. Re-scan 10.42.10.30 with Tenable Nessus to confirm closure.
Reference: https://www.tenable.com/plugins/nessus/170119</t>
  </si>
  <si>
    <t>CVE-2025-4119</t>
  </si>
  <si>
    <t>VULN-10491</t>
  </si>
  <si>
    <t>OpenSSH Server Signal Handler Race Condition (RegreSSHion) [Check #21]</t>
  </si>
  <si>
    <t xml:space="preserve">The remote service on 10.42.10.31:22 is affected by a high-severity security finding.
OpenSSH Server Signal Handler Race Condition (RegreSSHion) [Check #21] detected on 10.42.10.31 (22/TCP). Remediation is required to maintain FedRAMP High compliance.
[Scanner Evidence]: Service banner / package check confirmed vulnerable state on 10.42.10.31:22.</t>
  </si>
  <si>
    <t>10.42.10.31 (22/TCP)</t>
  </si>
  <si>
    <t xml:space="preserve">1. Upgrade OpenSSH to 9.8p1 or later.
2. Re-scan 10.42.10.31 with Tenable Nessus to confirm closure.
Reference: https://www.tenable.com/plugins/nessus/170120</t>
  </si>
  <si>
    <t>CVE-2025-4120</t>
  </si>
  <si>
    <t>VULN-10498</t>
  </si>
  <si>
    <t>Apache HTTP Server mod_rewrite SSRF &amp; Path Traversal [Check #22]</t>
  </si>
  <si>
    <t xml:space="preserve">The remote service on 10.42.10.32:443 is affected by a high-severity security finding.
Apache HTTP Server mod_rewrite SSRF &amp; Path Traversal [Check #22] detected on 10.42.10.32 (443/TCP). Remediation is required to maintain FedRAMP High compliance.
[Scanner Evidence]: Service banner / package check confirmed vulnerable state on 10.42.10.32:443.</t>
  </si>
  <si>
    <t>10.42.10.32 (443/TCP)</t>
  </si>
  <si>
    <t xml:space="preserve">1. Upgrade Apache httpd to 2.4.62 or later.
2. Re-scan 10.42.10.32 with Tenable Nessus to confirm closure.
Reference: https://www.tenable.com/plugins/nessus/170121</t>
  </si>
  <si>
    <t>CVE-2025-4121</t>
  </si>
  <si>
    <t>COMP-20177</t>
  </si>
  <si>
    <t>TLS Version 1.0/1.1 and Weak 3DES-CBC Cipher Suites Enabled [Check #23]</t>
  </si>
  <si>
    <t xml:space="preserve">The remote service on 10.42.10.33:443 is affected by a high-severity security finding.
TLS Version 1.0/1.1 and Weak 3DES-CBC Cipher Suites Enabled [Check #23] detected on 10.42.10.33 (443/TCP). Remediation is required to maintain FedRAMP High compliance.
[Scanner Evidence]: Service banner / package check confirmed vulnerable state on 10.42.10.33:443.</t>
  </si>
  <si>
    <t>10.42.10.33 (443/TCP)</t>
  </si>
  <si>
    <t xml:space="preserve">1. Disable TLS 1.0/1.1 and 3DES-CBC ciphers in TLS configuration.
2. Re-scan 10.42.10.33 with Tenable Nessus to confirm closure.
Reference: https://www.tenable.com/plugins/nessus/170122</t>
  </si>
  <si>
    <t>CVE-2025-4122</t>
  </si>
  <si>
    <t>VULN-10505</t>
  </si>
  <si>
    <t>Linux Kernel Netfilter nf_tables Use-After-Free Privilege Escalation [Check #24]</t>
  </si>
  <si>
    <t xml:space="preserve">The remote service on 10.42.10.34:22 is affected by a high-severity security finding.
Linux Kernel Netfilter nf_tables Use-After-Free Privilege Escalation [Check #24] detected on 10.42.10.34 (22/TCP). Remediation is required to maintain FedRAMP High compliance.
[Scanner Evidence]: Service banner / package check confirmed vulnerable state on 10.42.10.34:22.</t>
  </si>
  <si>
    <t>10.42.10.34 (22/TCP)</t>
  </si>
  <si>
    <t xml:space="preserve">1. Update kernel package to vendor-patched release and reboot.
2. Re-scan 10.42.10.34 with Tenable Nessus to confirm closure.
Reference: https://www.tenable.com/plugins/nessus/170123</t>
  </si>
  <si>
    <t>CVE-2025-4123</t>
  </si>
  <si>
    <t>COMP-20188</t>
  </si>
  <si>
    <t>PostgreSQL TLS Certificate Hostname Verification Bypass [Check #25]</t>
  </si>
  <si>
    <t xml:space="preserve">The remote service on 10.42.10.35:5432 is affected by a high-severity security finding.
PostgreSQL TLS Certificate Hostname Verification Bypass [Check #25] detected on 10.42.10.35 (5432/TCP). Remediation is required to maintain FedRAMP High compliance.
[Scanner Evidence]: Service banner / package check confirmed vulnerable state on 10.42.10.35:5432.</t>
  </si>
  <si>
    <t>10.42.10.35 (5432/TCP)</t>
  </si>
  <si>
    <t xml:space="preserve">1. Enforce verify-full in pg_hba.conf and update postgresql-server.
2. Re-scan 10.42.10.35 with Tenable Nessus to confirm closure.
Reference: https://www.tenable.com/plugins/nessus/170124</t>
  </si>
  <si>
    <t>CVE-2025-4124</t>
  </si>
  <si>
    <t>VULN-10512</t>
  </si>
  <si>
    <t>NGINX HTTP/2 Rapid Reset Denial of Service [Check #26]</t>
  </si>
  <si>
    <t xml:space="preserve">The remote service on 10.42.10.36:8443 is affected by a high-severity security finding.
NGINX HTTP/2 Rapid Reset Denial of Service [Check #26] detected on 10.42.10.36 (8443/TCP). Remediation is required to maintain FedRAMP High compliance.
[Scanner Evidence]: Service banner / package check confirmed vulnerable state on 10.42.10.36:8443.</t>
  </si>
  <si>
    <t>10.42.10.36 (8443/TCP)</t>
  </si>
  <si>
    <t xml:space="preserve">1. Upgrade NGINX to 1.25.3+ and limit http2_max_concurrent_streams.
2. Re-scan 10.42.10.36 with Tenable Nessus to confirm closure.
Reference: https://www.tenable.com/plugins/nessus/170125</t>
  </si>
  <si>
    <t>CVE-2025-4125</t>
  </si>
  <si>
    <t>COMP-20199</t>
  </si>
  <si>
    <t>SSH Weak Key Exchange &amp; MAC Algorithms Enabled (FIPS 140-3) [Check #27]</t>
  </si>
  <si>
    <t xml:space="preserve">The remote service on 10.42.10.37:22 is affected by a high-severity security finding.
SSH Weak Key Exchange &amp; MAC Algorithms Enabled (FIPS 140-3) [Check #27] detected on 10.42.10.37 (22/TCP). Remediation is required to maintain FedRAMP High compliance.
[Scanner Evidence]: Service banner / package check confirmed vulnerable state on 10.42.10.37:22.</t>
  </si>
  <si>
    <t>10.42.10.37 (22/TCP)</t>
  </si>
  <si>
    <t xml:space="preserve">1. Restrict KexAlgorithms and MACs in /etc/ssh/sshd_config to FIPS-approved suites.
2. Re-scan 10.42.10.37 with Tenable Nessus to confirm closure.
Reference: https://www.tenable.com/plugins/nessus/170126</t>
  </si>
  <si>
    <t>CVE-2025-4126</t>
  </si>
  <si>
    <t>VULN-10519</t>
  </si>
  <si>
    <t>glibc iconv ISO-2022-CN-EXT Buffer Overflow (CVE-2024-2961) [Check #28]</t>
  </si>
  <si>
    <t xml:space="preserve">The remote service on 10.42.10.38:22 is affected by a high-severity security finding.
glibc iconv ISO-2022-CN-EXT Buffer Overflow (CVE-2024-2961) [Check #28] detected on 10.42.10.38 (22/TCP). Remediation is required to maintain FedRAMP High compliance.
[Scanner Evidence]: Service banner / package check confirmed vulnerable state on 10.42.10.38:22.</t>
  </si>
  <si>
    <t>10.42.10.38 (22/TCP)</t>
  </si>
  <si>
    <t xml:space="preserve">1. Upgrade glibc packages to 2.39-4 or patched distribution build.
2. Re-scan 10.42.10.38 with Tenable Nessus to confirm closure.
Reference: https://www.tenable.com/plugins/nessus/170127</t>
  </si>
  <si>
    <t>CVE-2025-4127, CVE-2024-2961</t>
  </si>
  <si>
    <t>PENT-30539</t>
  </si>
  <si>
    <t>Unauthenticated Redis Telemetry Endpoint Exposed on Internal VLAN [Check #29]</t>
  </si>
  <si>
    <t xml:space="preserve">The remote service on 10.42.10.39:6379 is affected by a high-severity security finding.
Unauthenticated Redis Telemetry Endpoint Exposed on Internal VLAN [Check #29] detected on 10.42.10.39 (6379/TCP). Remediation is required to maintain FedRAMP High compliance.
[Scanner Evidence]: Service banner / package check confirmed vulnerable state on 10.42.10.39:6379.</t>
  </si>
  <si>
    <t>10.42.10.39 (6379/TCP)</t>
  </si>
  <si>
    <t xml:space="preserve">1. Enable requirepass/ACL authentication and bind Redis to loopback.
2. Re-scan 10.42.10.39 with Tenable Nessus to confirm closure.
Reference: https://www.tenable.com/plugins/nessus/170128</t>
  </si>
  <si>
    <t>CVE-2025-4128</t>
  </si>
  <si>
    <t>VULN-10526</t>
  </si>
  <si>
    <t>sudo Heap-Based Buffer Overflow Privilege Escalation [Check #30]</t>
  </si>
  <si>
    <t xml:space="preserve">The remote service on 10.42.10.40:22 is affected by a high-severity security finding.
sudo Heap-Based Buffer Overflow Privilege Escalation [Check #30] detected on 10.42.10.40 (22/TCP). Remediation is required to maintain FedRAMP High compliance.
[Scanner Evidence]: Service banner / package check confirmed vulnerable state on 10.42.10.40:22.</t>
  </si>
  <si>
    <t>10.42.10.40 (22/TCP)</t>
  </si>
  <si>
    <t xml:space="preserve">1. Upgrade sudo to 1.9.15p5 or later.
2. Re-scan 10.42.10.40 with Tenable Nessus to confirm closure.
Reference: https://www.tenable.com/plugins/nessus/170129</t>
  </si>
  <si>
    <t>CVE-2025-4129</t>
  </si>
  <si>
    <t>VULN-10533</t>
  </si>
  <si>
    <t>OpenSSH Server Signal Handler Race Condition (RegreSSHion) [Check #31]</t>
  </si>
  <si>
    <t xml:space="preserve">The remote service on 10.42.10.11:22 is affected by a medium-severity security finding.
OpenSSH Server Signal Handler Race Condition (RegreSSHion) [Check #31] detected on 10.42.10.11 (22/TCP). Remediation is required to maintain FedRAMP High compliance.
[Scanner Evidence]: Service banner / package check confirmed vulnerable state on 10.42.10.11:22.</t>
  </si>
  <si>
    <t xml:space="preserve">1. Upgrade OpenSSH to 9.8p1 or later.
2. Re-scan 10.42.10.11 with Tenable Nessus to confirm closure.
Reference: https://www.tenable.com/plugins/nessus/170130</t>
  </si>
  <si>
    <t>Moderate</t>
  </si>
  <si>
    <t>CVE-2025-4130</t>
  </si>
  <si>
    <t>VULN-10540</t>
  </si>
  <si>
    <t>Apache HTTP Server mod_rewrite SSRF &amp; Path Traversal [Check #32]</t>
  </si>
  <si>
    <t xml:space="preserve">The remote service on 10.42.10.12:443 is affected by a medium-severity security finding.
Apache HTTP Server mod_rewrite SSRF &amp; Path Traversal [Check #32] detected on 10.42.10.12 (443/TCP). Remediation is required to maintain FedRAMP High compliance.
[Scanner Evidence]: Service banner / package check confirmed vulnerable state on 10.42.10.12:443.</t>
  </si>
  <si>
    <t xml:space="preserve">1. Upgrade Apache httpd to 2.4.62 or later.
2. Re-scan 10.42.10.12 with Tenable Nessus to confirm closure.
Reference: https://www.tenable.com/plugins/nessus/170131</t>
  </si>
  <si>
    <t>CVE-2025-4131</t>
  </si>
  <si>
    <t>COMP-20210</t>
  </si>
  <si>
    <t>TLS Version 1.0/1.1 and Weak 3DES-CBC Cipher Suites Enabled [Check #33]</t>
  </si>
  <si>
    <t xml:space="preserve">The remote service on 10.42.10.13:443 is affected by a medium-severity security finding.
TLS Version 1.0/1.1 and Weak 3DES-CBC Cipher Suites Enabled [Check #33] detected on 10.42.10.13 (443/TCP). Remediation is required to maintain FedRAMP High compliance.
[Scanner Evidence]: Service banner / package check confirmed vulnerable state on 10.42.10.13:443.</t>
  </si>
  <si>
    <t xml:space="preserve">1. Disable TLS 1.0/1.1 and 3DES-CBC ciphers in TLS configuration.
2. Re-scan 10.42.10.13 with Tenable Nessus to confirm closure.
Reference: https://www.tenable.com/plugins/nessus/170132</t>
  </si>
  <si>
    <t>CVE-2025-4132</t>
  </si>
  <si>
    <t>VULN-10547</t>
  </si>
  <si>
    <t>Linux Kernel Netfilter nf_tables Use-After-Free Privilege Escalation [Check #34]</t>
  </si>
  <si>
    <t xml:space="preserve">The remote service on 10.42.10.14:22 is affected by a medium-severity security finding.
Linux Kernel Netfilter nf_tables Use-After-Free Privilege Escalation [Check #34] detected on 10.42.10.14 (22/TCP). Remediation is required to maintain FedRAMP High compliance.
[Scanner Evidence]: Service banner / package check confirmed vulnerable state on 10.42.10.14:22.</t>
  </si>
  <si>
    <t xml:space="preserve">1. Update kernel package to vendor-patched release and reboot.
2. Re-scan 10.42.10.14 with Tenable Nessus to confirm closure.
Reference: https://www.tenable.com/plugins/nessus/170133</t>
  </si>
  <si>
    <t>CVE-2025-4133</t>
  </si>
  <si>
    <t>COMP-20221</t>
  </si>
  <si>
    <t>PostgreSQL TLS Certificate Hostname Verification Bypass [Check #35]</t>
  </si>
  <si>
    <t xml:space="preserve">The remote service on 10.42.10.15:5432 is affected by a medium-severity security finding.
PostgreSQL TLS Certificate Hostname Verification Bypass [Check #35] detected on 10.42.10.15 (5432/TCP). Remediation is required to maintain FedRAMP High compliance.
[Scanner Evidence]: Service banner / package check confirmed vulnerable state on 10.42.10.15:5432.</t>
  </si>
  <si>
    <t xml:space="preserve">1. Enforce verify-full in pg_hba.conf and update postgresql-server.
2. Re-scan 10.42.10.15 with Tenable Nessus to confirm closure.
Reference: https://www.tenable.com/plugins/nessus/170134</t>
  </si>
  <si>
    <t>CVE-2025-4134</t>
  </si>
  <si>
    <t>VULN-10814</t>
  </si>
  <si>
    <t>NGINX HTTP/2 Rapid Reset Denial of Service [Check #36]</t>
  </si>
  <si>
    <t xml:space="preserve">The remote service on 10.42.10.16:8443 is affected by a medium-severity security finding.
NGINX HTTP/2 Rapid Reset Denial of Service [Check #36] detected on 10.42.10.16 (8443/TCP). Remediation is required to maintain FedRAMP High compliance.
[Scanner Evidence]: Service banner / package check confirmed vulnerable state on 10.42.10.16:8443.</t>
  </si>
  <si>
    <t>Cloud Security / GRC Team</t>
  </si>
  <si>
    <t xml:space="preserve">Remediation Action: Upgrade NGINX to 1.25.3+ and limit http2_max_concurrent_streams.
Official Tenable &amp; Vendor Remediation References:
• https://www.tenable.com/plugins/nessus/170135
• https://nginx.org/en/security_advisories.html
• https://nvd.nist.gov/vuln/detail/CVE-2025-4135</t>
  </si>
  <si>
    <t>tenable_monthly_scan.csv</t>
  </si>
  <si>
    <t>CVE-2025-4135</t>
  </si>
  <si>
    <t>VULN-10815</t>
  </si>
  <si>
    <t>SSH Weak Key Exchange &amp; MAC Algorithms Enabled (FIPS 140-3) [Check #37]</t>
  </si>
  <si>
    <t xml:space="preserve">The remote service on 10.42.10.17:22 is affected by a medium-severity security finding.
SSH Weak Key Exchange &amp; MAC Algorithms Enabled (FIPS 140-3) [Check #37] detected on 10.42.10.17 (22/TCP). Remediation is required to maintain FedRAMP High compliance.
[Scanner Evidence]: Service banner / package check confirmed vulnerable state on 10.42.10.17:22.</t>
  </si>
  <si>
    <t xml:space="preserve">Remediation Action: Restrict KexAlgorithms and MACs in /etc/ssh/sshd_config to FIPS-approved suites.
Official Tenable &amp; Vendor Remediation References:
• https://www.tenable.com/plugins/nessus/170136
• https://csrc.nist.gov/projects/cryptographic-module-validation-program
• https://nvd.nist.gov/vuln/detail/CVE-2025-4136</t>
  </si>
  <si>
    <t>CVE-2025-4136</t>
  </si>
  <si>
    <t>VULN-10816</t>
  </si>
  <si>
    <t>glibc iconv ISO-2022-CN-EXT Buffer Overflow (CVE-2024-2961) [Check #38]</t>
  </si>
  <si>
    <t xml:space="preserve">The remote service on 10.42.10.18:22 is affected by a medium-severity security finding.
glibc iconv ISO-2022-CN-EXT Buffer Overflow (CVE-2024-2961) [Check #38] detected on 10.42.10.18 (22/TCP). Remediation is required to maintain FedRAMP High compliance.
[Scanner Evidence]: Service banner / package check confirmed vulnerable state on 10.42.10.18:22.</t>
  </si>
  <si>
    <t xml:space="preserve">Remediation Action: Upgrade glibc packages to 2.39-4 or patched distribution build.
Official Tenable &amp; Vendor Remediation References:
• https://www.tenable.com/plugins/nessus/170137
• https://nvd.nist.gov/vuln/detail/CVE-2024-2961
• https://nvd.nist.gov/vuln/detail/CVE-2025-4137</t>
  </si>
  <si>
    <t>CVE-2025-4137, CVE-2024-2961</t>
  </si>
  <si>
    <t>VULN-10817</t>
  </si>
  <si>
    <t>Unauthenticated Redis Telemetry Endpoint Exposed on Internal VLAN [Check #39]</t>
  </si>
  <si>
    <t xml:space="preserve">The remote service on 10.42.10.19:6379 is affected by a medium-severity security finding.
Unauthenticated Redis Telemetry Endpoint Exposed on Internal VLAN [Check #39] detected on 10.42.10.19 (6379/TCP). Remediation is required to maintain FedRAMP High compliance.
[Scanner Evidence]: Service banner / package check confirmed vulnerable state on 10.42.10.19:6379.</t>
  </si>
  <si>
    <t xml:space="preserve">Remediation Action: Enable requirepass/ACL authentication and bind Redis to loopback.
Official Tenable &amp; Vendor Remediation References:
• https://www.tenable.com/plugins/nessus/170138
• https://redis.io/docs/latest/operate/oss_and_stack/management/security/
• https://nvd.nist.gov/vuln/detail/CVE-2025-4138</t>
  </si>
  <si>
    <t>CVE-2025-4138</t>
  </si>
  <si>
    <t>VULN-10818</t>
  </si>
  <si>
    <t>sudo Heap-Based Buffer Overflow Privilege Escalation [Check #40]</t>
  </si>
  <si>
    <t xml:space="preserve">The remote service on 10.42.10.20:22 is affected by a medium-severity security finding.
sudo Heap-Based Buffer Overflow Privilege Escalation [Check #40] detected on 10.42.10.20 (22/TCP). Remediation is required to maintain FedRAMP High compliance.
[Scanner Evidence]: Service banner / package check confirmed vulnerable state on 10.42.10.20:22.</t>
  </si>
  <si>
    <t xml:space="preserve">Remediation Action: Upgrade sudo to 1.9.15p5 or later.
Official Tenable &amp; Vendor Remediation References:
• https://www.tenable.com/plugins/nessus/170139
• https://www.sudo.ws/security/advisories/
• https://nvd.nist.gov/vuln/detail/CVE-2025-4139</t>
  </si>
  <si>
    <t>CVE-2025-4139</t>
  </si>
  <si>
    <t>VULN-10819</t>
  </si>
  <si>
    <t>OpenSSH Server Signal Handler Race Condition (RegreSSHion) [Check #41]</t>
  </si>
  <si>
    <t xml:space="preserve">The remote service on 10.42.10.21:22 is affected by a medium-severity security finding.
OpenSSH Server Signal Handler Race Condition (RegreSSHion) [Check #41] detected on 10.42.10.21 (22/TCP). Remediation is required to maintain FedRAMP High compliance.
[Scanner Evidence]: Service banner / package check confirmed vulnerable state on 10.42.10.21:22.</t>
  </si>
  <si>
    <t xml:space="preserve">Remediation Action: Upgrade OpenSSH to 9.8p1 or later.
Official Tenable &amp; Vendor Remediation References:
• https://www.tenable.com/plugins/nessus/170140
• https://www.openssh.com/
• https://nvd.nist.gov/vuln/detail/CVE-2025-4140</t>
  </si>
  <si>
    <t>CVE-2025-4140</t>
  </si>
  <si>
    <t>VULN-10820</t>
  </si>
  <si>
    <t>Apache HTTP Server mod_rewrite SSRF &amp; Path Traversal [Check #42]</t>
  </si>
  <si>
    <t xml:space="preserve">The remote service on 10.42.10.22:443 is affected by a medium-severity security finding.
Apache HTTP Server mod_rewrite SSRF &amp; Path Traversal [Check #42] detected on 10.42.10.22 (443/TCP). Remediation is required to maintain FedRAMP High compliance.
[Scanner Evidence]: Service banner / package check confirmed vulnerable state on 10.42.10.22:443.</t>
  </si>
  <si>
    <t xml:space="preserve">Remediation Action: Upgrade Apache httpd to 2.4.62 or later.
Official Tenable &amp; Vendor Remediation References:
• https://www.tenable.com/plugins/nessus/170141
• https://httpd.apache.org/security/vulnerabilities_24.html
• https://nvd.nist.gov/vuln/detail/CVE-2025-4141</t>
  </si>
  <si>
    <t>CVE-2025-4141</t>
  </si>
  <si>
    <t>COMP-20387</t>
  </si>
  <si>
    <t>TLS Version 1.0/1.1 and Weak 3DES-CBC Cipher Suites Enabled [Check #43]</t>
  </si>
  <si>
    <t xml:space="preserve">The remote service on 10.42.10.23:443 is affected by a medium-severity security finding.
TLS Version 1.0/1.1 and Weak 3DES-CBC Cipher Suites Enabled [Check #43] detected on 10.42.10.23 (443/TCP). Remediation is required to maintain FedRAMP High compliance.
[Scanner Evidence]: Service banner / package check confirmed vulnerable state on 10.42.10.23:443.</t>
  </si>
  <si>
    <t xml:space="preserve">Remediation Action: Disable TLS 1.0/1.1 and 3DES-CBC ciphers in TLS configuration.
Official Tenable &amp; Vendor Remediation References:
• https://www.tenable.com/plugins/nessus/170142
• https://nvd.nist.gov/vuln/detail/CVE-2016-2183
• https://nvd.nist.gov/vuln/detail/CVE-2025-4142</t>
  </si>
  <si>
    <t>CVE-2025-4142</t>
  </si>
  <si>
    <t>VULN-10821</t>
  </si>
  <si>
    <t>Linux Kernel Netfilter nf_tables Use-After-Free Privilege Escalation [Check #44]</t>
  </si>
  <si>
    <t xml:space="preserve">The remote service on 10.42.10.24:22 is affected by a medium-severity security finding.
Linux Kernel Netfilter nf_tables Use-After-Free Privilege Escalation [Check #44] detected on 10.42.10.24 (22/TCP). Remediation is required to maintain FedRAMP High compliance.
[Scanner Evidence]: Service banner / package check confirmed vulnerable state on 10.42.10.24:22.</t>
  </si>
  <si>
    <t xml:space="preserve">Remediation Action: Update kernel package to vendor-patched release and reboot.
Official Tenable &amp; Vendor Remediation References:
• https://www.tenable.com/plugins/nessus/170143
• https://access.redhat.com/security/updates/
• https://nvd.nist.gov/vuln/detail/CVE-2025-4143</t>
  </si>
  <si>
    <t>CVE-2025-4143</t>
  </si>
  <si>
    <t>COMP-20388</t>
  </si>
  <si>
    <t>PostgreSQL TLS Certificate Hostname Verification Bypass [Check #45]</t>
  </si>
  <si>
    <t xml:space="preserve">The remote service on 10.42.10.25:5432 is affected by a medium-severity security finding.
PostgreSQL TLS Certificate Hostname Verification Bypass [Check #45] detected on 10.42.10.25 (5432/TCP). Remediation is required to maintain FedRAMP High compliance.
[Scanner Evidence]: Service banner / package check confirmed vulnerable state on 10.42.10.25:5432.</t>
  </si>
  <si>
    <t xml:space="preserve">Remediation Action: Enforce verify-full in pg_hba.conf and update postgresql-server.
Official Tenable &amp; Vendor Remediation References:
• https://www.tenable.com/plugins/nessus/170144
• https://www.postgresql.org/support/security/
• https://nvd.nist.gov/vuln/detail/CVE-2025-4144</t>
  </si>
  <si>
    <t>CVE-2025-4144</t>
  </si>
  <si>
    <t>VULN-10822</t>
  </si>
  <si>
    <t>NGINX HTTP/2 Rapid Reset Denial of Service [Check #46]</t>
  </si>
  <si>
    <t xml:space="preserve">The remote service on 10.42.10.26:8443 is affected by a medium-severity security finding.
NGINX HTTP/2 Rapid Reset Denial of Service [Check #46] detected on 10.42.10.26 (8443/TCP). Remediation is required to maintain FedRAMP High compliance.
[Scanner Evidence]: Service banner / package check confirmed vulnerable state on 10.42.10.26:8443.</t>
  </si>
  <si>
    <t xml:space="preserve">Remediation Action: Upgrade NGINX to 1.25.3+ and limit http2_max_concurrent_streams.
Official Tenable &amp; Vendor Remediation References:
• https://www.tenable.com/plugins/nessus/170145
• https://nginx.org/en/security_advisories.html
• https://nvd.nist.gov/vuln/detail/CVE-2025-4145</t>
  </si>
  <si>
    <t>CVE-2025-4145</t>
  </si>
  <si>
    <t>VULN-10823</t>
  </si>
  <si>
    <t>SSH Weak Key Exchange &amp; MAC Algorithms Enabled (FIPS 140-3) [Check #47]</t>
  </si>
  <si>
    <t xml:space="preserve">The remote service on 10.42.10.27:22 is affected by a medium-severity security finding.
SSH Weak Key Exchange &amp; MAC Algorithms Enabled (FIPS 140-3) [Check #47] detected on 10.42.10.27 (22/TCP). Remediation is required to maintain FedRAMP High compliance.
[Scanner Evidence]: Service banner / package check confirmed vulnerable state on 10.42.10.27:22.</t>
  </si>
  <si>
    <t xml:space="preserve">Remediation Action: Restrict KexAlgorithms and MACs in /etc/ssh/sshd_config to FIPS-approved suites.
Official Tenable &amp; Vendor Remediation References:
• https://www.tenable.com/plugins/nessus/170146
• https://csrc.nist.gov/projects/cryptographic-module-validation-program
• https://nvd.nist.gov/vuln/detail/CVE-2025-4146</t>
  </si>
  <si>
    <t>CVE-2025-4146</t>
  </si>
  <si>
    <t>VULN-10824</t>
  </si>
  <si>
    <t>glibc iconv ISO-2022-CN-EXT Buffer Overflow (CVE-2024-2961) [Check #48]</t>
  </si>
  <si>
    <t xml:space="preserve">The remote service on 10.42.10.28:22 is affected by a medium-severity security finding.
glibc iconv ISO-2022-CN-EXT Buffer Overflow (CVE-2024-2961) [Check #48] detected on 10.42.10.28 (22/TCP). Remediation is required to maintain FedRAMP High compliance.
[Scanner Evidence]: Service banner / package check confirmed vulnerable state on 10.42.10.28:22.</t>
  </si>
  <si>
    <t xml:space="preserve">Remediation Action: Upgrade glibc packages to 2.39-4 or patched distribution build.
Official Tenable &amp; Vendor Remediation References:
• https://www.tenable.com/plugins/nessus/170147
• https://nvd.nist.gov/vuln/detail/CVE-2024-2961
• https://nvd.nist.gov/vuln/detail/CVE-2025-4147</t>
  </si>
  <si>
    <t>CVE-2025-4147, CVE-2024-2961</t>
  </si>
  <si>
    <t>VULN-10825</t>
  </si>
  <si>
    <t>Unauthenticated Redis Telemetry Endpoint Exposed on Internal VLAN [Check #49]</t>
  </si>
  <si>
    <t xml:space="preserve">The remote service on 10.42.10.29:6379 is affected by a medium-severity security finding.
Unauthenticated Redis Telemetry Endpoint Exposed on Internal VLAN [Check #49] detected on 10.42.10.29 (6379/TCP). Remediation is required to maintain FedRAMP High compliance.
[Scanner Evidence]: Service banner / package check confirmed vulnerable state on 10.42.10.29:6379.</t>
  </si>
  <si>
    <t xml:space="preserve">Remediation Action: Enable requirepass/ACL authentication and bind Redis to loopback.
Official Tenable &amp; Vendor Remediation References:
• https://www.tenable.com/plugins/nessus/170148
• https://redis.io/docs/latest/operate/oss_and_stack/management/security/
• https://nvd.nist.gov/vuln/detail/CVE-2025-4148</t>
  </si>
  <si>
    <t>CVE-2025-4148</t>
  </si>
  <si>
    <t>VULN-10826</t>
  </si>
  <si>
    <t>sudo Heap-Based Buffer Overflow Privilege Escalation [Check #50]</t>
  </si>
  <si>
    <t xml:space="preserve">The remote service on 10.42.10.30:22 is affected by a medium-severity security finding.
sudo Heap-Based Buffer Overflow Privilege Escalation [Check #50] detected on 10.42.10.30 (22/TCP). Remediation is required to maintain FedRAMP High compliance.
[Scanner Evidence]: Service banner / package check confirmed vulnerable state on 10.42.10.30:22.</t>
  </si>
  <si>
    <t xml:space="preserve">Remediation Action: Upgrade sudo to 1.9.15p5 or later.
Official Tenable &amp; Vendor Remediation References:
• https://www.tenable.com/plugins/nessus/170149
• https://www.sudo.ws/security/advisories/
• https://nvd.nist.gov/vuln/detail/CVE-2025-4149</t>
  </si>
  <si>
    <t>CVE-2025-4149</t>
  </si>
  <si>
    <t>VULN-10827</t>
  </si>
  <si>
    <t>OpenSSH Server Signal Handler Race Condition (RegreSSHion) [Check #51]</t>
  </si>
  <si>
    <t xml:space="preserve">The remote service on 10.42.10.31:22 is affected by a low-severity security finding.
OpenSSH Server Signal Handler Race Condition (RegreSSHion) [Check #51] detected on 10.42.10.31 (22/TCP). Remediation is required to maintain FedRAMP High compliance.
[Scanner Evidence]: Service banner / package check confirmed vulnerable state on 10.42.10.31:22.</t>
  </si>
  <si>
    <t xml:space="preserve">Remediation Action: Upgrade OpenSSH to 9.8p1 or later.
Official Tenable &amp; Vendor Remediation References:
• https://www.tenable.com/plugins/nessus/170150
• https://www.openssh.com/
• https://nvd.nist.gov/vuln/detail/CVE-2025-4150</t>
  </si>
  <si>
    <t>Low</t>
  </si>
  <si>
    <t>CVE-2025-4150</t>
  </si>
  <si>
    <t>VULN-10828</t>
  </si>
  <si>
    <t>Apache HTTP Server mod_rewrite SSRF &amp; Path Traversal [Check #52]</t>
  </si>
  <si>
    <t xml:space="preserve">The remote service on 10.42.10.32:443 is affected by a low-severity security finding.
Apache HTTP Server mod_rewrite SSRF &amp; Path Traversal [Check #52] detected on 10.42.10.32 (443/TCP). Remediation is required to maintain FedRAMP High compliance.
[Scanner Evidence]: Service banner / package check confirmed vulnerable state on 10.42.10.32:443.</t>
  </si>
  <si>
    <t xml:space="preserve">Remediation Action: Upgrade Apache httpd to 2.4.62 or later.
Official Tenable &amp; Vendor Remediation References:
• https://www.tenable.com/plugins/nessus/170151
• https://httpd.apache.org/security/vulnerabilities_24.html
• https://nvd.nist.gov/vuln/detail/CVE-2025-4151</t>
  </si>
  <si>
    <t>CVE-2025-4151</t>
  </si>
  <si>
    <t>COMP-20389</t>
  </si>
  <si>
    <t>TLS Version 1.0/1.1 and Weak 3DES-CBC Cipher Suites Enabled [Check #53]</t>
  </si>
  <si>
    <t xml:space="preserve">The remote service on 10.42.10.33:443 is affected by a low-severity security finding.
TLS Version 1.0/1.1 and Weak 3DES-CBC Cipher Suites Enabled [Check #53] detected on 10.42.10.33 (443/TCP). Remediation is required to maintain FedRAMP High compliance.
[Scanner Evidence]: Service banner / package check confirmed vulnerable state on 10.42.10.33:443.</t>
  </si>
  <si>
    <t xml:space="preserve">Remediation Action: Disable TLS 1.0/1.1 and 3DES-CBC ciphers in TLS configuration.
Official Tenable &amp; Vendor Remediation References:
• https://www.tenable.com/plugins/nessus/170152
• https://nvd.nist.gov/vuln/detail/CVE-2016-2183
• https://nvd.nist.gov/vuln/detail/CVE-2025-4152</t>
  </si>
  <si>
    <t>CVE-2025-4152</t>
  </si>
  <si>
    <t>VULN-10829</t>
  </si>
  <si>
    <t>Linux Kernel Netfilter nf_tables Use-After-Free Privilege Escalation [Check #54]</t>
  </si>
  <si>
    <t xml:space="preserve">The remote service on 10.42.10.34:22 is affected by a low-severity security finding.
Linux Kernel Netfilter nf_tables Use-After-Free Privilege Escalation [Check #54] detected on 10.42.10.34 (22/TCP). Remediation is required to maintain FedRAMP High compliance.
[Scanner Evidence]: Service banner / package check confirmed vulnerable state on 10.42.10.34:22.</t>
  </si>
  <si>
    <t xml:space="preserve">Remediation Action: Update kernel package to vendor-patched release and reboot.
Official Tenable &amp; Vendor Remediation References:
• https://www.tenable.com/plugins/nessus/170153
• https://access.redhat.com/security/updates/
• https://nvd.nist.gov/vuln/detail/CVE-2025-4153</t>
  </si>
  <si>
    <t>CVE-2025-4153</t>
  </si>
  <si>
    <t>COMP-20390</t>
  </si>
  <si>
    <t>PostgreSQL TLS Certificate Hostname Verification Bypass [Check #55]</t>
  </si>
  <si>
    <t xml:space="preserve">The remote service on 10.42.10.35:5432 is affected by a low-severity security finding.
PostgreSQL TLS Certificate Hostname Verification Bypass [Check #55] detected on 10.42.10.35 (5432/TCP). Remediation is required to maintain FedRAMP High compliance.
[Scanner Evidence]: Service banner / package check confirmed vulnerable state on 10.42.10.35:5432.</t>
  </si>
  <si>
    <t xml:space="preserve">Remediation Action: Enforce verify-full in pg_hba.conf and update postgresql-server.
Official Tenable &amp; Vendor Remediation References:
• https://www.tenable.com/plugins/nessus/170154
• https://www.postgresql.org/support/security/
• https://nvd.nist.gov/vuln/detail/CVE-2025-4154</t>
  </si>
  <si>
    <t>CVE-2025-4154</t>
  </si>
  <si>
    <t>VULN-10830</t>
  </si>
  <si>
    <t>NGINX HTTP/2 Rapid Reset Denial of Service [Check #56]</t>
  </si>
  <si>
    <t xml:space="preserve">The remote service on 10.42.10.36:8443 is affected by a low-severity security finding.
NGINX HTTP/2 Rapid Reset Denial of Service [Check #56] detected on 10.42.10.36 (8443/TCP). Remediation is required to maintain FedRAMP High compliance.
[Scanner Evidence]: Service banner / package check confirmed vulnerable state on 10.42.10.36:8443.</t>
  </si>
  <si>
    <t xml:space="preserve">Remediation Action: Upgrade NGINX to 1.25.3+ and limit http2_max_concurrent_streams.
Official Tenable &amp; Vendor Remediation References:
• https://www.tenable.com/plugins/nessus/170155
• https://nginx.org/en/security_advisories.html
• https://nvd.nist.gov/vuln/detail/CVE-2025-4155</t>
  </si>
  <si>
    <t>CVE-2025-4155</t>
  </si>
  <si>
    <t>VULN-10831</t>
  </si>
  <si>
    <t>SSH Weak Key Exchange &amp; MAC Algorithms Enabled (FIPS 140-3) [Check #57]</t>
  </si>
  <si>
    <t xml:space="preserve">The remote service on 10.42.10.37:22 is affected by a low-severity security finding.
SSH Weak Key Exchange &amp; MAC Algorithms Enabled (FIPS 140-3) [Check #57] detected on 10.42.10.37 (22/TCP). Remediation is required to maintain FedRAMP High compliance.
[Scanner Evidence]: Service banner / package check confirmed vulnerable state on 10.42.10.37:22.</t>
  </si>
  <si>
    <t xml:space="preserve">Remediation Action: Restrict KexAlgorithms and MACs in /etc/ssh/sshd_config to FIPS-approved suites.
Official Tenable &amp; Vendor Remediation References:
• https://www.tenable.com/plugins/nessus/170156
• https://csrc.nist.gov/projects/cryptographic-module-validation-program
• https://nvd.nist.gov/vuln/detail/CVE-2025-4156</t>
  </si>
  <si>
    <t>CVE-2025-4156</t>
  </si>
  <si>
    <t>VULN-10832</t>
  </si>
  <si>
    <t>glibc iconv ISO-2022-CN-EXT Buffer Overflow (CVE-2024-2961) [Check #58]</t>
  </si>
  <si>
    <t xml:space="preserve">The remote service on 10.42.10.38:22 is affected by a low-severity security finding.
glibc iconv ISO-2022-CN-EXT Buffer Overflow (CVE-2024-2961) [Check #58] detected on 10.42.10.38 (22/TCP). Remediation is required to maintain FedRAMP High compliance.
[Scanner Evidence]: Service banner / package check confirmed vulnerable state on 10.42.10.38:22.</t>
  </si>
  <si>
    <t xml:space="preserve">Remediation Action: Upgrade glibc packages to 2.39-4 or patched distribution build.
Official Tenable &amp; Vendor Remediation References:
• https://www.tenable.com/plugins/nessus/170157
• https://nvd.nist.gov/vuln/detail/CVE-2024-2961
• https://nvd.nist.gov/vuln/detail/CVE-2025-4157</t>
  </si>
  <si>
    <t>CVE-2025-4157, CVE-2024-2961</t>
  </si>
  <si>
    <t>VULN-10833</t>
  </si>
  <si>
    <t>Unauthenticated Redis Telemetry Endpoint Exposed on Internal VLAN [Check #59]</t>
  </si>
  <si>
    <t xml:space="preserve">The remote service on 10.42.10.39:6379 is affected by a low-severity security finding.
Unauthenticated Redis Telemetry Endpoint Exposed on Internal VLAN [Check #59] detected on 10.42.10.39 (6379/TCP). Remediation is required to maintain FedRAMP High compliance.
[Scanner Evidence]: Service banner / package check confirmed vulnerable state on 10.42.10.39:6379.</t>
  </si>
  <si>
    <t xml:space="preserve">Remediation Action: Enable requirepass/ACL authentication and bind Redis to loopback.
Official Tenable &amp; Vendor Remediation References:
• https://www.tenable.com/plugins/nessus/170158
• https://redis.io/docs/latest/operate/oss_and_stack/management/security/
• https://nvd.nist.gov/vuln/detail/CVE-2025-4158</t>
  </si>
  <si>
    <t>CVE-2025-4158</t>
  </si>
  <si>
    <t>VULN-10834</t>
  </si>
  <si>
    <t>sudo Heap-Based Buffer Overflow Privilege Escalation [Check #60]</t>
  </si>
  <si>
    <t xml:space="preserve">The remote service on 10.42.10.40:22 is affected by a low-severity security finding.
sudo Heap-Based Buffer Overflow Privilege Escalation [Check #60] detected on 10.42.10.40 (22/TCP). Remediation is required to maintain FedRAMP High compliance.
[Scanner Evidence]: Service banner / package check confirmed vulnerable state on 10.42.10.40:22.</t>
  </si>
  <si>
    <t xml:space="preserve">Remediation Action: Upgrade sudo to 1.9.15p5 or later.
Official Tenable &amp; Vendor Remediation References:
• https://www.tenable.com/plugins/nessus/170159
• https://www.sudo.ws/security/advisories/
• https://nvd.nist.gov/vuln/detail/CVE-2025-4159</t>
  </si>
  <si>
    <t>CVE-2025-4159</t>
  </si>
  <si>
    <t>VULN-10835</t>
  </si>
  <si>
    <t>OpenSSH Server Signal Handler Race Condition (RegreSSHion) [Check #61]</t>
  </si>
  <si>
    <t xml:space="preserve">The remote service on 10.42.10.11:22 is affected by a low-severity security finding.
OpenSSH Server Signal Handler Race Condition (RegreSSHion) [Check #61] detected on 10.42.10.11 (22/TCP). Remediation is required to maintain FedRAMP High compliance.
[Scanner Evidence]: Service banner / package check confirmed vulnerable state on 10.42.10.11:22.</t>
  </si>
  <si>
    <t xml:space="preserve">Remediation Action: Upgrade OpenSSH to 9.8p1 or later.
Official Tenable &amp; Vendor Remediation References:
• https://www.tenable.com/plugins/nessus/170160
• https://www.openssh.com/
• https://nvd.nist.gov/vuln/detail/CVE-2025-4160</t>
  </si>
  <si>
    <t>CVE-2025-4160</t>
  </si>
  <si>
    <t>VULN-10836</t>
  </si>
  <si>
    <t>Apache HTTP Server mod_rewrite SSRF &amp; Path Traversal [Check #62]</t>
  </si>
  <si>
    <t xml:space="preserve">The remote service on 10.42.10.12:443 is affected by a low-severity security finding.
Apache HTTP Server mod_rewrite SSRF &amp; Path Traversal [Check #62] detected on 10.42.10.12 (443/TCP). Remediation is required to maintain FedRAMP High compliance.
[Scanner Evidence]: Service banner / package check confirmed vulnerable state on 10.42.10.12:443.</t>
  </si>
  <si>
    <t xml:space="preserve">Remediation Action: Upgrade Apache httpd to 2.4.62 or later.
Official Tenable &amp; Vendor Remediation References:
• https://www.tenable.com/plugins/nessus/170161
• https://httpd.apache.org/security/vulnerabilities_24.html
• https://nvd.nist.gov/vuln/detail/CVE-2025-4161</t>
  </si>
  <si>
    <t>CVE-2025-4161</t>
  </si>
  <si>
    <t>COMP-20391</t>
  </si>
  <si>
    <t>TLS Version 1.0/1.1 and Weak 3DES-CBC Cipher Suites Enabled [Check #63]</t>
  </si>
  <si>
    <t xml:space="preserve">The remote service on 10.42.10.13:443 is affected by a low-severity security finding.
TLS Version 1.0/1.1 and Weak 3DES-CBC Cipher Suites Enabled [Check #63] detected on 10.42.10.13 (443/TCP). Remediation is required to maintain FedRAMP High compliance.
[Scanner Evidence]: Service banner / package check confirmed vulnerable state on 10.42.10.13:443.</t>
  </si>
  <si>
    <t xml:space="preserve">Remediation Action: Disable TLS 1.0/1.1 and 3DES-CBC ciphers in TLS configuration.
Official Tenable &amp; Vendor Remediation References:
• https://www.tenable.com/plugins/nessus/170162
• https://nvd.nist.gov/vuln/detail/CVE-2016-2183
• https://nvd.nist.gov/vuln/detail/CVE-2025-4162</t>
  </si>
  <si>
    <t>CVE-2025-4162</t>
  </si>
  <si>
    <t>VULN-10837</t>
  </si>
  <si>
    <t>Linux Kernel Netfilter nf_tables Use-After-Free Privilege Escalation [Check #64]</t>
  </si>
  <si>
    <t xml:space="preserve">The remote service on 10.42.10.14:22 is affected by a low-severity security finding.
Linux Kernel Netfilter nf_tables Use-After-Free Privilege Escalation [Check #64] detected on 10.42.10.14 (22/TCP). Remediation is required to maintain FedRAMP High compliance.
[Scanner Evidence]: Service banner / package check confirmed vulnerable state on 10.42.10.14:22.</t>
  </si>
  <si>
    <t xml:space="preserve">Remediation Action: Update kernel package to vendor-patched release and reboot.
Official Tenable &amp; Vendor Remediation References:
• https://www.tenable.com/plugins/nessus/170163
• https://access.redhat.com/security/updates/
• https://nvd.nist.gov/vuln/detail/CVE-2025-4163</t>
  </si>
  <si>
    <t>CVE-2025-4163</t>
  </si>
  <si>
    <t>COMP-20392</t>
  </si>
  <si>
    <t>PostgreSQL TLS Certificate Hostname Verification Bypass [Check #65]</t>
  </si>
  <si>
    <t xml:space="preserve">The remote service on 10.42.10.15:5432 is affected by a low-severity security finding.
PostgreSQL TLS Certificate Hostname Verification Bypass [Check #65] detected on 10.42.10.15 (5432/TCP). Remediation is required to maintain FedRAMP High compliance.
[Scanner Evidence]: Service banner / package check confirmed vulnerable state on 10.42.10.15:5432.</t>
  </si>
  <si>
    <t xml:space="preserve">Remediation Action: Enforce verify-full in pg_hba.conf and update postgresql-server.
Official Tenable &amp; Vendor Remediation References:
• https://www.tenable.com/plugins/nessus/170164
• https://www.postgresql.org/support/security/
• https://nvd.nist.gov/vuln/detail/CVE-2025-4164</t>
  </si>
  <si>
    <t>CVE-2025-4164</t>
  </si>
  <si>
    <t>VULN-10666</t>
  </si>
  <si>
    <t>CVE-2025-7100 - curl: Package vulnerability in curl on i-0a1b2c3d4e5f00001</t>
  </si>
  <si>
    <t>AWS Inspector detected CVE-2025-7100 - curl: Package vulnerability in curl on i-0a1b2c3d4e5f00001 on i-0a1b2c3d4e5f00001.</t>
  </si>
  <si>
    <t>AWS Inspector</t>
  </si>
  <si>
    <t>CVE-2025-7100</t>
  </si>
  <si>
    <t>i-0a1b2c3d4e5f00001 (AWS_EC2_INSTANCE)</t>
  </si>
  <si>
    <t>Cloud SecOps &amp; DevSecOps Team</t>
  </si>
  <si>
    <t xml:space="preserve">Remediation Action: Update the affected package/image or apply the AWS-recommended security patch for 'CVE-2025-7100 - curl: Package vulnerability in curl on i-0a1b2c3d4e5f00001', redeploy the hardened AMI/container, and verify closure in AWS Inspector.
Official AWS Inspector &amp; Advisory Remediation References:
• https://explore.alas.aws.amazon.com/CVE/CVE-2025-7100.html
• https://nvd.nist.gov/vuln/detail/CVE-2025-7100
• https://docs.aws.amazon.com/inspector/latest/user/findings-understanding.html</t>
  </si>
  <si>
    <t>aws_inspector_september.csv</t>
  </si>
  <si>
    <t xml:space="preserve">Tracked in active ConMon cycle.
[Review Required 2026-10-30: Asset 'i-0a1b2c3d4e5f00001 (AWS_EC2_INSTANCE)' was not observed in the latest scan — retained in OPEN POA&amp;M pending host/scope verification]</t>
  </si>
  <si>
    <t>VULN-10764</t>
  </si>
  <si>
    <t>SI-2, RA-5</t>
  </si>
  <si>
    <t>CVE-2024-9300 - Remediated Container/EC2 Package Vulnerability #01</t>
  </si>
  <si>
    <t>CVE-2024-9300 - Remediated Container/EC2 Package Vulnerability #01 previously detected on i-0a1b2c3d4e5f00001 (AWS_EC2_INSTANCE).</t>
  </si>
  <si>
    <t>CVE-2024-9300</t>
  </si>
  <si>
    <t xml:space="preserve">1. Patch AMI / instance i-0a1b2c3d4e5f00001 via SSM Patch Manager.
2. Confirm closure in AWS Inspector.</t>
  </si>
  <si>
    <t>PENT-30901</t>
  </si>
  <si>
    <t>CA-8, IA-2, AC-3</t>
  </si>
  <si>
    <t>Broken Object Level Authorization (BOLA) on /api/v2/records Endpoint</t>
  </si>
  <si>
    <t>Annual 3PAO penetration test finding (Pen-Test IDOR-2026-01) on api-gateway.enclave.internal.</t>
  </si>
  <si>
    <t>3PAO Penetration Test</t>
  </si>
  <si>
    <t>Pen-Test IDOR-2026-01</t>
  </si>
  <si>
    <t>api-gateway.enclave.internal</t>
  </si>
  <si>
    <t>Application Security &amp; IAM Team</t>
  </si>
  <si>
    <t xml:space="preserve">1. Remediate Pen-Test IDOR-2026-01 in application codebase.
2. Perform 3PAO re-test on api-gateway.enclave.internal.</t>
  </si>
  <si>
    <t>3pao_pentest_roe_report_2026.pdf</t>
  </si>
  <si>
    <t xml:space="preserve">Tracked in active ConMon cycle.
[Review Required 2026-10-30: Asset 'api-gateway.enclave.internal' was not observed in the latest scan — retained in OPEN POA&amp;M pending host/scope verification]</t>
  </si>
  <si>
    <t>VULN-10673</t>
  </si>
  <si>
    <t>CVE-2025-7101 - openssl-libs: Package vulnerability in openssl-libs on i-0a1b2c3d4e5f00002</t>
  </si>
  <si>
    <t>AWS Inspector detected CVE-2025-7101 - openssl-libs: Package vulnerability in openssl-libs on i-0a1b2c3d4e5f00002 on i-0a1b2c3d4e5f00002.</t>
  </si>
  <si>
    <t>CVE-2025-7101</t>
  </si>
  <si>
    <t>i-0a1b2c3d4e5f00002 (AWS_EC2_INSTANCE)</t>
  </si>
  <si>
    <t xml:space="preserve">1. Update openssl-libs to 3.0.8-27.amzn2023.
2. Confirm closure in AWS Inspector.</t>
  </si>
  <si>
    <t xml:space="preserve">Tracked in active ConMon cycle.
[Review Required 2026-10-30: Asset 'i-0a1b2c3d4e5f00002 (AWS_EC2_INSTANCE)' was not observed in the latest scan — retained in OPEN POA&amp;M pending host/scope verification]</t>
  </si>
  <si>
    <t>VULN-10771</t>
  </si>
  <si>
    <t>CVE-2024-9301 - Remediated Container/EC2 Package Vulnerability #02</t>
  </si>
  <si>
    <t>CVE-2024-9301 - Remediated Container/EC2 Package Vulnerability #02 previously detected on i-0a1b2c3d4e5f00002 (AWS_EC2_INSTANCE).</t>
  </si>
  <si>
    <t>CVE-2024-9301</t>
  </si>
  <si>
    <t xml:space="preserve">1. Patch AMI / instance i-0a1b2c3d4e5f00002 via SSM Patch Manager.
2. Confirm closure in AWS Inspector.</t>
  </si>
  <si>
    <t>PENT-30914</t>
  </si>
  <si>
    <t>CA-8, SC-8, IA-5</t>
  </si>
  <si>
    <t>OAuth2 PKCE Downgrade Permitted on Legacy Mobile Client Redirect URI</t>
  </si>
  <si>
    <t>Annual 3PAO penetration test finding (Pen-Test OAUTH-2026-02) on sso-idp.enclave.internal.</t>
  </si>
  <si>
    <t>Pen-Test OAUTH-2026-02</t>
  </si>
  <si>
    <t>sso-idp.enclave.internal</t>
  </si>
  <si>
    <t xml:space="preserve">1. Remediate Pen-Test OAUTH-2026-02 in application codebase.
2. Perform 3PAO re-test on sso-idp.enclave.internal.</t>
  </si>
  <si>
    <t xml:space="preserve">Tracked in active ConMon cycle.
[Review Required 2026-10-30: Asset 'sso-idp.enclave.internal' was not observed in the latest scan — retained in OPEN POA&amp;M pending host/scope verification]</t>
  </si>
  <si>
    <t>VULN-10680</t>
  </si>
  <si>
    <t>CVE-2025-7102 - golang.org/x/net: Package vulnerability in golang.org/x/net on i-0a1b2c3d4e5f00003</t>
  </si>
  <si>
    <t>AWS Inspector detected CVE-2025-7102 - golang.org/x/net: Package vulnerability in golang.org/x/net on i-0a1b2c3d4e5f00003 on i-0a1b2c3d4e5f00003.</t>
  </si>
  <si>
    <t>CVE-2025-7102</t>
  </si>
  <si>
    <t>i-0a1b2c3d4e5f00003 (AWS_ECR_CONTAINER_IMAGE)</t>
  </si>
  <si>
    <t xml:space="preserve">1. Update golang.org/x/net to v0.23.0.
2. Confirm closure in AWS Inspector.</t>
  </si>
  <si>
    <t xml:space="preserve">Tracked in active ConMon cycle.
[Review Required 2026-10-30: Asset 'i-0a1b2c3d4e5f00003 (AWS_ECR_CONTAINER_IMAGE)' was not observed in the latest scan — retained in OPEN POA&amp;M pending host/scope verification]</t>
  </si>
  <si>
    <t>VULN-10778</t>
  </si>
  <si>
    <t>CVE-2024-9302 - Remediated Container/EC2 Package Vulnerability #03</t>
  </si>
  <si>
    <t>CVE-2024-9302 - Remediated Container/EC2 Package Vulnerability #03 previously detected on i-0a1b2c3d4e5f00003 (AWS_EC2_INSTANCE).</t>
  </si>
  <si>
    <t>CVE-2024-9302</t>
  </si>
  <si>
    <t>i-0a1b2c3d4e5f00003 (AWS_EC2_INSTANCE)</t>
  </si>
  <si>
    <t xml:space="preserve">1. Patch AMI / instance i-0a1b2c3d4e5f00003 via SSM Patch Manager.
2. Confirm closure in AWS Inspector.</t>
  </si>
  <si>
    <t xml:space="preserve">Tracked in active ConMon cycle.
[Review Required 2026-10-30: Asset 'i-0a1b2c3d4e5f00003 (AWS_EC2_INSTANCE)' was not observed in the latest scan — retained in OPEN POA&amp;M pending host/scope verification]</t>
  </si>
  <si>
    <t>PENT-30927</t>
  </si>
  <si>
    <t>CA-8, SI-10</t>
  </si>
  <si>
    <t>GraphQL Batch Query Introspection &amp; Rate-Limit Bypass</t>
  </si>
  <si>
    <t>Annual 3PAO penetration test finding (Pen-Test GQL-2026-03) on graphql.enclave.internal.</t>
  </si>
  <si>
    <t>Pen-Test GQL-2026-03</t>
  </si>
  <si>
    <t>graphql.enclave.internal</t>
  </si>
  <si>
    <t xml:space="preserve">1. Remediate Pen-Test GQL-2026-03 in application codebase.
2. Perform 3PAO re-test on graphql.enclave.internal.</t>
  </si>
  <si>
    <t xml:space="preserve">Tracked in active ConMon cycle.
[Review Required 2026-10-30: Asset 'graphql.enclave.internal' was not observed in the latest scan — retained in OPEN POA&amp;M pending host/scope verification]</t>
  </si>
  <si>
    <t>VULN-10687</t>
  </si>
  <si>
    <t>CVE-2025-7103 - urllib3: Package vulnerability in urllib3 on i-0a1b2c3d4e5f00004</t>
  </si>
  <si>
    <t>AWS Inspector detected CVE-2025-7103 - urllib3: Package vulnerability in urllib3 on i-0a1b2c3d4e5f00004 on i-0a1b2c3d4e5f00004.</t>
  </si>
  <si>
    <t>CVE-2025-7103</t>
  </si>
  <si>
    <t>i-0a1b2c3d4e5f00004 (AWS_LAMBDA_FUNCTION)</t>
  </si>
  <si>
    <t xml:space="preserve">Remediation Action: Update the affected package/image or apply the AWS-recommended security patch for 'CVE-2025-7103 - urllib3: Package vulnerability in urllib3 on i-0a1b2c3d4e5f00004', redeploy the hardened AMI/container, and verify closure in AWS Inspector.
Official AWS Inspector &amp; Advisory Remediation References:
• https://explore.alas.aws.amazon.com/CVE/CVE-2025-7103.html
• https://nvd.nist.gov/vuln/detail/CVE-2025-7103
• https://docs.aws.amazon.com/inspector/latest/user/findings-understanding.html</t>
  </si>
  <si>
    <t xml:space="preserve">Tracked in active ConMon cycle.
[Review Required 2026-10-30: Asset 'i-0a1b2c3d4e5f00004 (AWS_LAMBDA_FUNCTION)' was not observed in the latest scan — retained in OPEN POA&amp;M pending host/scope verification]</t>
  </si>
  <si>
    <t>VULN-10785</t>
  </si>
  <si>
    <t>CVE-2024-9303 - Remediated Container/EC2 Package Vulnerability #04</t>
  </si>
  <si>
    <t>CVE-2024-9303 - Remediated Container/EC2 Package Vulnerability #04 previously detected on i-0a1b2c3d4e5f00004 (AWS_EC2_INSTANCE).</t>
  </si>
  <si>
    <t>CVE-2024-9303</t>
  </si>
  <si>
    <t>i-0a1b2c3d4e5f00004 (AWS_EC2_INSTANCE)</t>
  </si>
  <si>
    <t xml:space="preserve">1. Patch AMI / instance i-0a1b2c3d4e5f00004 via SSM Patch Manager.
2. Confirm closure in AWS Inspector.</t>
  </si>
  <si>
    <t xml:space="preserve">Tracked in active ConMon cycle.
[Review Required 2026-10-30: Asset 'i-0a1b2c3d4e5f00004 (AWS_EC2_INSTANCE)' was not observed in the latest scan — retained in OPEN POA&amp;M pending host/scope verification]</t>
  </si>
  <si>
    <t>PENT-30940</t>
  </si>
  <si>
    <t>CA-8, AU-9</t>
  </si>
  <si>
    <t>Verbose Stack Trace Disclosure on Unhandled 500 Exception</t>
  </si>
  <si>
    <t>Annual 3PAO penetration test finding (Pen-Test ERR-2026-04) on portal-web.enclave.internal.</t>
  </si>
  <si>
    <t>Pen-Test ERR-2026-04</t>
  </si>
  <si>
    <t>portal-web.enclave.internal</t>
  </si>
  <si>
    <t xml:space="preserve">1. Remediate Pen-Test ERR-2026-04 in application codebase.
2. Perform 3PAO re-test on portal-web.enclave.internal.</t>
  </si>
  <si>
    <t xml:space="preserve">Tracked in active ConMon cycle.
[Review Required 2026-10-30: Asset 'portal-web.enclave.internal' was not observed in the latest scan — retained in OPEN POA&amp;M pending host/scope verification]</t>
  </si>
  <si>
    <t>COMP-20331</t>
  </si>
  <si>
    <t>RA-5, SI-2, IA-2, AC-6, CM-6</t>
  </si>
  <si>
    <t>CIS-AL2023-104 - CIS Amazon Linux 2023 Benchmark — SSH Root Login &amp; IMDSv2 Enforcement: Enforce IMDSv2 hop-limit=1 and disable root SSH</t>
  </si>
  <si>
    <t>AWS Inspector detected CIS-AL2023-104 - CIS Amazon Linux 2023 Benchmark — SSH Root Login &amp; IMDSv2 Enforcement: Enforce IMDSv2 hop-limit=1 and disable root SSH on i-0a1b2c3d4e5f00005.</t>
  </si>
  <si>
    <t>CIS-AL2023-104</t>
  </si>
  <si>
    <t>i-0a1b2c3d4e5f00005 (AWS_EC2_INSTANCE)</t>
  </si>
  <si>
    <t xml:space="preserve">1. Update CIS Amazon Linux 2023 Benchmark — SSH Root Login &amp; IMDSv2 Enforcement to cis-al2023-1.1.
2. Confirm closure in AWS Inspector.</t>
  </si>
  <si>
    <t xml:space="preserve">Tracked in active ConMon cycle.
[Review Required 2026-10-30: Asset 'i-0a1b2c3d4e5f00005 (AWS_EC2_INSTANCE)' was not observed in the latest scan — retained in OPEN POA&amp;M pending host/scope verification]</t>
  </si>
  <si>
    <t>VULN-10792</t>
  </si>
  <si>
    <t>CVE-2024-9304 - Remediated Container/EC2 Package Vulnerability #05</t>
  </si>
  <si>
    <t>CVE-2024-9304 - Remediated Container/EC2 Package Vulnerability #05 previously detected on i-0a1b2c3d4e5f00005 (AWS_EC2_INSTANCE).</t>
  </si>
  <si>
    <t>CVE-2024-9304</t>
  </si>
  <si>
    <t xml:space="preserve">1. Patch AMI / instance i-0a1b2c3d4e5f00005 via SSM Patch Manager.
2. Confirm closure in AWS Inspector.</t>
  </si>
  <si>
    <t>PENT-30953</t>
  </si>
  <si>
    <t>CA-8, SC-28</t>
  </si>
  <si>
    <t>Session JWT Retained in Browser LocalStorage After Logout</t>
  </si>
  <si>
    <t>Annual 3PAO penetration test finding (Pen-Test SESS-2026-05) on portal-web.enclave.internal.</t>
  </si>
  <si>
    <t>Pen-Test SESS-2026-05</t>
  </si>
  <si>
    <t xml:space="preserve">1. Remediate Pen-Test SESS-2026-05 in application codebase.
2. Perform 3PAO re-test on portal-web.enclave.internal.</t>
  </si>
  <si>
    <t>VULN-10694</t>
  </si>
  <si>
    <t>CVE-2025-7105 - expat: Package vulnerability in expat on i-0a1b2c3d4e5f00006</t>
  </si>
  <si>
    <t>AWS Inspector detected CVE-2025-7105 - expat: Package vulnerability in expat on i-0a1b2c3d4e5f00006 on i-0a1b2c3d4e5f00006.</t>
  </si>
  <si>
    <t>CVE-2025-7105</t>
  </si>
  <si>
    <t>i-0a1b2c3d4e5f00006 (AWS_EC2_INSTANCE)</t>
  </si>
  <si>
    <t xml:space="preserve">1. Update expat to 2.5.0-1.amzn2023.0.4.
2. Confirm closure in AWS Inspector.</t>
  </si>
  <si>
    <t xml:space="preserve">Tracked in active ConMon cycle.
[Review Required 2026-10-30: Asset 'i-0a1b2c3d4e5f00006 (AWS_EC2_INSTANCE)' was not observed in the latest scan — retained in OPEN POA&amp;M pending host/scope verification]</t>
  </si>
  <si>
    <t>VULN-10799</t>
  </si>
  <si>
    <t>CVE-2024-9305 - Remediated Container/EC2 Package Vulnerability #06</t>
  </si>
  <si>
    <t>CVE-2024-9305 - Remediated Container/EC2 Package Vulnerability #06 previously detected on i-0a1b2c3d4e5f00006 (AWS_EC2_INSTANCE).</t>
  </si>
  <si>
    <t>CVE-2024-9305</t>
  </si>
  <si>
    <t xml:space="preserve">1. Patch AMI / instance i-0a1b2c3d4e5f00006 via SSM Patch Manager.
2. Confirm closure in AWS Inspector.</t>
  </si>
  <si>
    <t>VULN-10701</t>
  </si>
  <si>
    <t>CVE-2025-7106 - curl: Package vulnerability in curl on i-0a1b2c3d4e5f00007</t>
  </si>
  <si>
    <t>AWS Inspector detected CVE-2025-7106 - curl: Package vulnerability in curl on i-0a1b2c3d4e5f00007 on i-0a1b2c3d4e5f00007.</t>
  </si>
  <si>
    <t>CVE-2025-7106</t>
  </si>
  <si>
    <t>i-0a1b2c3d4e5f00007 (AWS_EC2_INSTANCE)</t>
  </si>
  <si>
    <t xml:space="preserve">Remediation Action: Update the affected package/image or apply the AWS-recommended security patch for 'CVE-2025-7106 - curl: Package vulnerability in curl on i-0a1b2c3d4e5f00007', redeploy the hardened AMI/container, and verify closure in AWS Inspector.
Official AWS Inspector &amp; Advisory Remediation References:
• https://explore.alas.aws.amazon.com/CVE/CVE-2025-7106.html
• https://nvd.nist.gov/vuln/detail/CVE-2025-7106
• https://docs.aws.amazon.com/inspector/latest/user/findings-understanding.html</t>
  </si>
  <si>
    <t xml:space="preserve">Tracked in active ConMon cycle.
[Review Required 2026-10-30: Asset 'i-0a1b2c3d4e5f00007 (AWS_EC2_INSTANCE)' was not observed in the latest scan — retained in OPEN POA&amp;M pending host/scope verification]</t>
  </si>
  <si>
    <t>VULN-10806</t>
  </si>
  <si>
    <t>CVE-2024-9306 - Remediated Container/EC2 Package Vulnerability #07</t>
  </si>
  <si>
    <t>CVE-2024-9306 - Remediated Container/EC2 Package Vulnerability #07 previously detected on i-0a1b2c3d4e5f00007 (AWS_EC2_INSTANCE).</t>
  </si>
  <si>
    <t>CVE-2024-9306</t>
  </si>
  <si>
    <t xml:space="preserve">1. Patch AMI / instance i-0a1b2c3d4e5f00007 via SSM Patch Manager.
2. Confirm closure in AWS Inspector.</t>
  </si>
  <si>
    <t>VULN-10708</t>
  </si>
  <si>
    <t>CVE-2025-7107 - openssl-libs: Package vulnerability in openssl-libs on i-0a1b2c3d4e5f00008</t>
  </si>
  <si>
    <t>AWS Inspector detected CVE-2025-7107 - openssl-libs: Package vulnerability in openssl-libs on i-0a1b2c3d4e5f00008 on i-0a1b2c3d4e5f00008.</t>
  </si>
  <si>
    <t>CVE-2025-7107</t>
  </si>
  <si>
    <t>i-0a1b2c3d4e5f00008 (AWS_EC2_INSTANCE)</t>
  </si>
  <si>
    <t xml:space="preserve">Tracked in active ConMon cycle.
[Review Required 2026-10-30: Asset 'i-0a1b2c3d4e5f00008 (AWS_EC2_INSTANCE)' was not observed in the latest scan — retained in OPEN POA&amp;M pending host/scope verification]</t>
  </si>
  <si>
    <t>VULN-10813</t>
  </si>
  <si>
    <t>CVE-2024-9307 - Remediated Container/EC2 Package Vulnerability #08</t>
  </si>
  <si>
    <t>CVE-2024-9307 - Remediated Container/EC2 Package Vulnerability #08 previously detected on i-0a1b2c3d4e5f00008 (AWS_EC2_INSTANCE).</t>
  </si>
  <si>
    <t>CVE-2024-9307</t>
  </si>
  <si>
    <t xml:space="preserve">1. Patch AMI / instance i-0a1b2c3d4e5f00008 via SSM Patch Manager.
2. Confirm closure in AWS Inspector.</t>
  </si>
  <si>
    <t>VULN-10715</t>
  </si>
  <si>
    <t>CVE-2025-7108 - golang.org/x/net: Package vulnerability in golang.org/x/net on i-0a1b2c3d4e5f00009</t>
  </si>
  <si>
    <t>AWS Inspector detected CVE-2025-7108 - golang.org/x/net: Package vulnerability in golang.org/x/net on i-0a1b2c3d4e5f00009 on i-0a1b2c3d4e5f00009.</t>
  </si>
  <si>
    <t>CVE-2025-7108</t>
  </si>
  <si>
    <t>i-0a1b2c3d4e5f00009 (AWS_ECR_CONTAINER_IMAGE)</t>
  </si>
  <si>
    <t xml:space="preserve">Tracked in active ConMon cycle.
[Review Required 2026-10-30: Asset 'i-0a1b2c3d4e5f00009 (AWS_ECR_CONTAINER_IMAGE)' was not observed in the latest scan — retained in OPEN POA&amp;M pending host/scope verification]</t>
  </si>
  <si>
    <t>COMP-20353</t>
  </si>
  <si>
    <t>CM-6, AC-6</t>
  </si>
  <si>
    <t>CIS-AL2023-REM-09 - Remediated AL2023 CIS Hardening Check #09</t>
  </si>
  <si>
    <t>CIS-AL2023-REM-09 - Remediated AL2023 CIS Hardening Check #09 previously detected on i-0a1b2c3d4e5f00009 (AWS_EC2_INSTANCE).</t>
  </si>
  <si>
    <t>CIS-AL2023-REM-09</t>
  </si>
  <si>
    <t>i-0a1b2c3d4e5f00009 (AWS_EC2_INSTANCE)</t>
  </si>
  <si>
    <t xml:space="preserve">1. Patch AMI / instance i-0a1b2c3d4e5f00009 via SSM Patch Manager.
2. Confirm closure in AWS Inspector.</t>
  </si>
  <si>
    <t xml:space="preserve">Tracked in active ConMon cycle.
[Review Required 2026-10-30: Asset 'i-0a1b2c3d4e5f00009 (AWS_EC2_INSTANCE)' was not observed in the latest scan — retained in OPEN POA&amp;M pending host/scope verification]</t>
  </si>
  <si>
    <t>VULN-10722</t>
  </si>
  <si>
    <t>CVE-2025-7109 - urllib3: Package vulnerability in urllib3 on i-0a1b2c3d4e5f00010</t>
  </si>
  <si>
    <t>AWS Inspector detected CVE-2025-7109 - urllib3: Package vulnerability in urllib3 on i-0a1b2c3d4e5f00010 on i-0a1b2c3d4e5f00010.</t>
  </si>
  <si>
    <t>CVE-2025-7109</t>
  </si>
  <si>
    <t>i-0a1b2c3d4e5f00010 (AWS_LAMBDA_FUNCTION)</t>
  </si>
  <si>
    <t xml:space="preserve">Remediation Action: Update the affected package/image or apply the AWS-recommended security patch for 'CVE-2025-7109 - urllib3: Package vulnerability in urllib3 on i-0a1b2c3d4e5f00010', redeploy the hardened AMI/container, and verify closure in AWS Inspector.
Official AWS Inspector &amp; Advisory Remediation References:
• https://explore.alas.aws.amazon.com/CVE/CVE-2025-7109.html
• https://nvd.nist.gov/vuln/detail/CVE-2025-7109
• https://docs.aws.amazon.com/inspector/latest/user/findings-understanding.html</t>
  </si>
  <si>
    <t xml:space="preserve">Tracked in active ConMon cycle.
[Review Required 2026-10-30: Asset 'i-0a1b2c3d4e5f00010 (AWS_LAMBDA_FUNCTION)' was not observed in the latest scan — retained in OPEN POA&amp;M pending host/scope verification]</t>
  </si>
  <si>
    <t>COMP-20364</t>
  </si>
  <si>
    <t>CIS-AL2023-REM-10 - Remediated AL2023 CIS Hardening Check #10</t>
  </si>
  <si>
    <t>CIS-AL2023-REM-10 - Remediated AL2023 CIS Hardening Check #10 previously detected on i-0a1b2c3d4e5f00010 (AWS_EC2_INSTANCE).</t>
  </si>
  <si>
    <t>CIS-AL2023-REM-10</t>
  </si>
  <si>
    <t>i-0a1b2c3d4e5f00010 (AWS_EC2_INSTANCE)</t>
  </si>
  <si>
    <t xml:space="preserve">1. Patch AMI / instance i-0a1b2c3d4e5f00010 via SSM Patch Manager.
2. Confirm closure in AWS Inspector.</t>
  </si>
  <si>
    <t xml:space="preserve">Tracked in active ConMon cycle.
[Review Required 2026-10-30: Asset 'i-0a1b2c3d4e5f00010 (AWS_EC2_INSTANCE)' was not observed in the latest scan — retained in OPEN POA&amp;M pending host/scope verification]</t>
  </si>
  <si>
    <t>COMP-20342</t>
  </si>
  <si>
    <t>CIS-AL2023-110 - CIS Amazon Linux 2023 Benchmark — SSH Root Login &amp; IMDSv2 Enforcement: Enforce IMDSv2 hop-limit=1 and disable root SSH</t>
  </si>
  <si>
    <t>AWS Inspector detected CIS-AL2023-110 - CIS Amazon Linux 2023 Benchmark — SSH Root Login &amp; IMDSv2 Enforcement: Enforce IMDSv2 hop-limit=1 and disable root SSH on i-0a1b2c3d4e5f00011.</t>
  </si>
  <si>
    <t>CIS-AL2023-110</t>
  </si>
  <si>
    <t>i-0a1b2c3d4e5f00011 (AWS_EC2_INSTANCE)</t>
  </si>
  <si>
    <t xml:space="preserve">Tracked in active ConMon cycle.
[Review Required 2026-10-30: Asset 'i-0a1b2c3d4e5f00011 (AWS_EC2_INSTANCE)' was not observed in the latest scan — retained in OPEN POA&amp;M pending host/scope verification]</t>
  </si>
  <si>
    <t>COMP-20375</t>
  </si>
  <si>
    <t>CIS-AL2023-REM-11 - Remediated AL2023 CIS Hardening Check #11</t>
  </si>
  <si>
    <t>CIS-AL2023-REM-11 - Remediated AL2023 CIS Hardening Check #11 previously detected on i-0a1b2c3d4e5f00011 (AWS_EC2_INSTANCE).</t>
  </si>
  <si>
    <t>CIS-AL2023-REM-11</t>
  </si>
  <si>
    <t xml:space="preserve">1. Patch AMI / instance i-0a1b2c3d4e5f00011 via SSM Patch Manager.
2. Confirm closure in AWS Inspector.</t>
  </si>
  <si>
    <t>VULN-10729</t>
  </si>
  <si>
    <t>CVE-2025-7111 - expat: Package vulnerability in expat on i-0a1b2c3d4e5f00012</t>
  </si>
  <si>
    <t>AWS Inspector detected CVE-2025-7111 - expat: Package vulnerability in expat on i-0a1b2c3d4e5f00012 on i-0a1b2c3d4e5f00012.</t>
  </si>
  <si>
    <t>CVE-2025-7111</t>
  </si>
  <si>
    <t>i-0a1b2c3d4e5f00012 (AWS_EC2_INSTANCE)</t>
  </si>
  <si>
    <t xml:space="preserve">Tracked in active ConMon cycle.
[Review Required 2026-10-30: Asset 'i-0a1b2c3d4e5f00012 (AWS_EC2_INSTANCE)' was not observed in the latest scan — retained in OPEN POA&amp;M pending host/scope verification]</t>
  </si>
  <si>
    <t>COMP-20386</t>
  </si>
  <si>
    <t>CIS-AL2023-REM-12 - Remediated AL2023 CIS Hardening Check #12</t>
  </si>
  <si>
    <t>CIS-AL2023-REM-12 - Remediated AL2023 CIS Hardening Check #12 previously detected on i-0a1b2c3d4e5f00012 (AWS_EC2_INSTANCE).</t>
  </si>
  <si>
    <t>CIS-AL2023-REM-12</t>
  </si>
  <si>
    <t xml:space="preserve">1. Patch AMI / instance i-0a1b2c3d4e5f00012 via SSM Patch Manager.
2. Confirm closure in AWS Inspector.</t>
  </si>
  <si>
    <t>VULN-10736</t>
  </si>
  <si>
    <t>CVE-2025-7112 - curl: Package vulnerability in curl on i-0a1b2c3d4e5f00013</t>
  </si>
  <si>
    <t>AWS Inspector detected CVE-2025-7112 - curl: Package vulnerability in curl on i-0a1b2c3d4e5f00013 on i-0a1b2c3d4e5f00013.</t>
  </si>
  <si>
    <t>CVE-2025-7112</t>
  </si>
  <si>
    <t>i-0a1b2c3d4e5f00013 (AWS_EC2_INSTANCE)</t>
  </si>
  <si>
    <t xml:space="preserve">Remediation Action: Update the affected package/image or apply the AWS-recommended security patch for 'CVE-2025-7112 - curl: Package vulnerability in curl on i-0a1b2c3d4e5f00013', redeploy the hardened AMI/container, and verify closure in AWS Inspector.
Official AWS Inspector &amp; Advisory Remediation References:
• https://explore.alas.aws.amazon.com/CVE/CVE-2025-7112.html
• https://nvd.nist.gov/vuln/detail/CVE-2025-7112
• https://docs.aws.amazon.com/inspector/latest/user/findings-understanding.html</t>
  </si>
  <si>
    <t xml:space="preserve">Tracked in active ConMon cycle.
[Review Required 2026-10-30: Asset 'i-0a1b2c3d4e5f00013 (AWS_EC2_INSTANCE)' was not observed in the latest scan — retained in OPEN POA&amp;M pending host/scope verification]</t>
  </si>
  <si>
    <t>PENT-30617</t>
  </si>
  <si>
    <t>CVE-2024-9312 - Remediated Container/EC2 Package Vulnerability #13</t>
  </si>
  <si>
    <t>CVE-2024-9312 - Remediated Container/EC2 Package Vulnerability #13 previously detected on i-0a1b2c3d4e5f00013 (AWS_EC2_INSTANCE).</t>
  </si>
  <si>
    <t>CVE-2024-9312</t>
  </si>
  <si>
    <t xml:space="preserve">1. Patch AMI / instance i-0a1b2c3d4e5f00013 via SSM Patch Manager.
2. Confirm closure in AWS Inspector.</t>
  </si>
  <si>
    <t>VULN-10743</t>
  </si>
  <si>
    <t>CVE-2025-7113 - openssl-libs: Package vulnerability in openssl-libs on i-0a1b2c3d4e5f00014</t>
  </si>
  <si>
    <t>AWS Inspector detected CVE-2025-7113 - openssl-libs: Package vulnerability in openssl-libs on i-0a1b2c3d4e5f00014 on i-0a1b2c3d4e5f00014.</t>
  </si>
  <si>
    <t>CVE-2025-7113</t>
  </si>
  <si>
    <t>i-0a1b2c3d4e5f00014 (AWS_EC2_INSTANCE)</t>
  </si>
  <si>
    <t xml:space="preserve">Tracked in active ConMon cycle.
[Review Required 2026-10-30: Asset 'i-0a1b2c3d4e5f00014 (AWS_EC2_INSTANCE)' was not observed in the latest scan — retained in OPEN POA&amp;M pending host/scope verification]</t>
  </si>
  <si>
    <t>PENT-30630</t>
  </si>
  <si>
    <t>CVE-2024-9313 - Remediated Container/EC2 Package Vulnerability #14</t>
  </si>
  <si>
    <t>CVE-2024-9313 - Remediated Container/EC2 Package Vulnerability #14 previously detected on i-0a1b2c3d4e5f00014 (AWS_EC2_INSTANCE).</t>
  </si>
  <si>
    <t>CVE-2024-9313</t>
  </si>
  <si>
    <t xml:space="preserve">1. Patch AMI / instance i-0a1b2c3d4e5f00014 via SSM Patch Manager.
2. Confirm closure in AWS Inspector.</t>
  </si>
  <si>
    <t>VULN-10750</t>
  </si>
  <si>
    <t>CVE-2025-7114 - golang.org/x/net: Package vulnerability in golang.org/x/net on i-0a1b2c3d4e5f00015</t>
  </si>
  <si>
    <t>AWS Inspector detected CVE-2025-7114 - golang.org/x/net: Package vulnerability in golang.org/x/net on i-0a1b2c3d4e5f00015 on i-0a1b2c3d4e5f00015.</t>
  </si>
  <si>
    <t>CVE-2025-7114</t>
  </si>
  <si>
    <t>i-0a1b2c3d4e5f00015 (AWS_ECR_CONTAINER_IMAGE)</t>
  </si>
  <si>
    <t xml:space="preserve">Tracked in active ConMon cycle.
[Review Required 2026-10-30: Asset 'i-0a1b2c3d4e5f00015 (AWS_ECR_CONTAINER_IMAGE)' was not observed in the latest scan — retained in OPEN POA&amp;M pending host/scope verification]</t>
  </si>
  <si>
    <t>VULN-10757</t>
  </si>
  <si>
    <t>CVE-2025-7115 - urllib3: Package vulnerability in urllib3 on i-0a1b2c3d4e5f00016</t>
  </si>
  <si>
    <t>AWS Inspector detected CVE-2025-7115 - urllib3: Package vulnerability in urllib3 on i-0a1b2c3d4e5f00016 on i-0a1b2c3d4e5f00016.</t>
  </si>
  <si>
    <t>CVE-2025-7115</t>
  </si>
  <si>
    <t>i-0a1b2c3d4e5f00016 (AWS_LAMBDA_FUNCTION)</t>
  </si>
  <si>
    <t xml:space="preserve">Remediation Action: Update the affected package/image or apply the AWS-recommended security patch for 'CVE-2025-7115 - urllib3: Package vulnerability in urllib3 on i-0a1b2c3d4e5f00016', redeploy the hardened AMI/container, and verify closure in AWS Inspector.
Official AWS Inspector &amp; Advisory Remediation References:
• https://explore.alas.aws.amazon.com/CVE/CVE-2025-7115.html
• https://nvd.nist.gov/vuln/detail/CVE-2025-7115
• https://docs.aws.amazon.com/inspector/latest/user/findings-understanding.html</t>
  </si>
  <si>
    <t xml:space="preserve">Tracked in active ConMon cycle.
[Review Required 2026-10-30: Asset 'i-0a1b2c3d4e5f00016 (AWS_LAMBDA_FUNCTION)' was not observed in the latest scan — retained in OPEN POA&amp;M pending host/scope verification]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</si>
</sst>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9">
    <font>
      <sz val="10.0"/>
      <color rgb="FF000000"/>
      <name val="Arial"/>
      <scheme val="minor"/>
    </font>
    <font>
      <b/>
      <sz val="10.0"/>
      <color rgb="FF1A4480"/>
      <name val="Arial"/>
    </font>
    <font>
      <sz val="10.0"/>
      <color theme="1"/>
      <name val="Arial"/>
    </font>
    <font>
      <b/>
      <sz val="10.0"/>
      <color rgb="FF000000"/>
      <name val="Arial"/>
    </font>
    <font>
      <sz val="10.0"/>
      <color rgb="FF000000"/>
      <name val="Arial"/>
    </font>
    <font>
      <sz val="10.0"/>
      <color rgb="FF454545"/>
      <name val="Arial"/>
    </font>
    <font>
      <i/>
      <sz val="10.0"/>
      <color rgb="FF454545"/>
      <name val="Arial"/>
    </font>
    <font>
      <i/>
      <sz val="10.0"/>
      <color theme="1"/>
      <name val="Arial"/>
    </font>
    <font>
      <sz val="10.0"/>
      <color rgb="FFA5A5A5"/>
      <name val="Arial"/>
    </font>
  </fonts>
  <fills count="3">
    <fill>
      <patternFill patternType="none"/>
    </fill>
    <fill>
      <patternFill patternType="lightGray"/>
    </fill>
    <fill>
      <patternFill patternType="solid">
        <fgColor rgb="FFCCECFC"/>
        <bgColor rgb="FFCCECFC"/>
      </patternFill>
    </fill>
  </fills>
  <borders count="5">
    <border/>
    <border>
      <left/>
      <right/>
      <top/>
      <bottom/>
    </border>
    <border>
      <left style="thin">
        <color rgb="FFD8D8D8"/>
      </left>
      <right style="thin">
        <color rgb="FFD8D8D8"/>
      </right>
      <top style="thin">
        <color rgb="FFD8D8D8"/>
      </top>
      <bottom style="thin">
        <color rgb="FFD8D8D8"/>
      </bottom>
    </border>
    <border>
      <right style="thin">
        <color rgb="FFD8D8D8"/>
      </right>
      <top style="thin">
        <color rgb="FFD8D8D8"/>
      </top>
      <bottom style="thin">
        <color rgb="FFD8D8D8"/>
      </bottom>
    </border>
    <border>
      <right style="thin">
        <color rgb="FFD8D8D8"/>
      </righ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3" numFmtId="0" xfId="0" applyAlignment="1" applyFont="1">
      <alignment vertical="top"/>
    </xf>
    <xf borderId="0" fillId="0" fontId="4" numFmtId="164" xfId="0" applyAlignment="1" applyFont="1" applyNumberFormat="1">
      <alignment shrinkToFit="0" vertical="top" wrapText="1"/>
    </xf>
    <xf borderId="0" fillId="0" fontId="4" numFmtId="0" xfId="0" applyAlignment="1" applyFont="1">
      <alignment shrinkToFit="0" vertical="top" wrapText="1"/>
    </xf>
    <xf borderId="0" fillId="0" fontId="4" numFmtId="14" xfId="0" applyAlignment="1" applyFont="1" applyNumberFormat="1">
      <alignment shrinkToFit="0" vertical="top" wrapText="1"/>
    </xf>
    <xf borderId="0" fillId="0" fontId="4" numFmtId="49" xfId="0" applyAlignment="1" applyFont="1" applyNumberFormat="1">
      <alignment shrinkToFit="0" vertical="top" wrapText="1"/>
    </xf>
    <xf borderId="2" fillId="0" fontId="5" numFmtId="0" xfId="0" applyAlignment="1" applyBorder="1" applyFont="1">
      <alignment horizontal="left" shrinkToFit="0" vertical="top" wrapText="1"/>
    </xf>
    <xf borderId="0" fillId="0" fontId="2" numFmtId="0" xfId="0" applyAlignment="1" applyFont="1">
      <alignment shrinkToFit="0" vertical="top" wrapText="1"/>
    </xf>
    <xf borderId="0" fillId="0" fontId="2" numFmtId="0" xfId="0" applyAlignment="1" applyFont="1">
      <alignment vertical="top"/>
    </xf>
    <xf borderId="2" fillId="0" fontId="6" numFmtId="0" xfId="0" applyAlignment="1" applyBorder="1" applyFont="1">
      <alignment shrinkToFit="0" vertical="top" wrapText="1"/>
    </xf>
    <xf borderId="2" fillId="0" fontId="6" numFmtId="0" xfId="0" applyAlignment="1" applyBorder="1" applyFont="1">
      <alignment horizontal="left" shrinkToFit="0" vertical="top" wrapText="1"/>
    </xf>
    <xf borderId="0" fillId="0" fontId="7" numFmtId="0" xfId="0" applyAlignment="1" applyFont="1">
      <alignment horizontal="left" shrinkToFit="0" vertical="top" wrapText="1"/>
    </xf>
    <xf borderId="2" fillId="0" fontId="6" numFmtId="14" xfId="0" applyAlignment="1" applyBorder="1" applyFont="1" applyNumberFormat="1">
      <alignment shrinkToFit="0" vertical="top" wrapText="1"/>
    </xf>
    <xf borderId="0" fillId="0" fontId="7" numFmtId="14" xfId="0" applyAlignment="1" applyFont="1" applyNumberFormat="1">
      <alignment horizontal="left" vertical="top"/>
    </xf>
    <xf borderId="0" fillId="0" fontId="7" numFmtId="14" xfId="0" applyAlignment="1" applyFont="1" applyNumberFormat="1">
      <alignment horizontal="left" shrinkToFit="0" vertical="top" wrapText="1"/>
    </xf>
    <xf borderId="3" fillId="0" fontId="6" numFmtId="0" xfId="0" applyAlignment="1" applyBorder="1" applyFont="1">
      <alignment horizontal="left" shrinkToFit="0" vertical="top" wrapText="1"/>
    </xf>
    <xf borderId="0" fillId="0" fontId="3" numFmtId="0" xfId="0" applyAlignment="1" applyFont="1">
      <alignment shrinkToFit="0" vertical="top" wrapText="1"/>
    </xf>
    <xf borderId="3" fillId="0" fontId="5" numFmtId="0" xfId="0" applyAlignment="1" applyBorder="1" applyFont="1">
      <alignment horizontal="left" shrinkToFit="0" vertical="top" wrapText="1"/>
    </xf>
    <xf borderId="4" fillId="0" fontId="5" numFmtId="0" xfId="0" applyAlignment="1" applyBorder="1" applyFont="1">
      <alignment horizontal="left" shrinkToFit="0" vertical="top" wrapText="1"/>
    </xf>
    <xf borderId="0" fillId="0" fontId="2" numFmtId="14" xfId="0" applyFont="1" applyNumberFormat="1"/>
    <xf borderId="0" fillId="0" fontId="8" numFmtId="14" xfId="0" applyAlignment="1" applyFont="1" applyNumberFormat="1">
      <alignment horizontal="left" vertical="top"/>
    </xf>
  </cellXfs>
  <cellStyles count="1">
    <cellStyle xfId="0" name="Normal" builtinId="0"/>
  </cellStyles>
  <dxfs count="1">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38"/>
    <col customWidth="1" min="2" max="2" width="22.0"/>
    <col customWidth="1" min="3" max="28" width="20.88"/>
    <col customWidth="1" min="29" max="48" width="17.25"/>
  </cols>
  <sheetData>
    <row r="1" ht="12.75" customHeight="1">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2"/>
      <c r="AD1" s="2"/>
      <c r="AE1" s="2"/>
      <c r="AF1" s="2"/>
      <c r="AG1" s="2"/>
      <c r="AH1" s="2"/>
      <c r="AI1" s="2"/>
      <c r="AJ1" s="2"/>
      <c r="AK1" s="2"/>
      <c r="AL1" s="2"/>
      <c r="AM1" s="2"/>
      <c r="AN1" s="2"/>
      <c r="AO1" s="2"/>
      <c r="AP1" s="2"/>
      <c r="AQ1" s="2"/>
      <c r="AR1" s="2"/>
      <c r="AS1" s="2"/>
      <c r="AT1" s="2"/>
      <c r="AU1" s="2"/>
      <c r="AV1" s="2"/>
    </row>
    <row r="2" ht="12.75" customHeight="1">
      <c r="A2" s="3" t="s">
        <v>27</v>
      </c>
      <c r="B2" s="4" t="s">
        <v>28</v>
      </c>
      <c r="C2" s="4" t="s">
        <v>29</v>
      </c>
      <c r="D2" s="4" t="s">
        <v>30</v>
      </c>
      <c r="E2" s="4" t="s">
        <v>31</v>
      </c>
      <c r="F2" s="4" t="s">
        <v>32</v>
      </c>
      <c r="G2" s="4" t="s">
        <v>33</v>
      </c>
      <c r="H2" s="4" t="s">
        <v>34</v>
      </c>
      <c r="I2" s="4" t="s">
        <v>35</v>
      </c>
      <c r="J2" s="4" t="s">
        <v>36</v>
      </c>
      <c r="K2" s="4" t="s">
        <v>37</v>
      </c>
      <c r="L2" s="5" t="s">
        <v>38</v>
      </c>
      <c r="M2" s="6" t="s">
        <v>39</v>
      </c>
      <c r="N2" s="4" t="s">
        <v>40</v>
      </c>
      <c r="O2" s="4" t="s">
        <v>41</v>
      </c>
      <c r="P2" s="4" t="s">
        <v>42</v>
      </c>
      <c r="Q2" s="4" t="s">
        <v>43</v>
      </c>
      <c r="R2" s="4" t="s">
        <v>44</v>
      </c>
      <c r="S2" s="7" t="s">
        <v>45</v>
      </c>
      <c r="T2" s="8" t="s">
        <v>46</v>
      </c>
      <c r="U2" s="8" t="s">
        <v>47</v>
      </c>
      <c r="V2" s="8" t="s">
        <v>48</v>
      </c>
      <c r="W2" s="4" t="s">
        <v>49</v>
      </c>
      <c r="X2" s="4" t="s">
        <v>50</v>
      </c>
      <c r="Y2" s="8" t="s">
        <v>51</v>
      </c>
      <c r="Z2" s="9" t="s">
        <v>52</v>
      </c>
      <c r="AA2" s="9" t="s">
        <v>53</v>
      </c>
      <c r="AB2" s="9" t="s">
        <v>54</v>
      </c>
      <c r="AC2" s="10"/>
      <c r="AD2" s="10"/>
      <c r="AE2" s="10"/>
      <c r="AF2" s="10"/>
      <c r="AG2" s="10"/>
      <c r="AH2" s="10"/>
      <c r="AI2" s="10"/>
      <c r="AJ2" s="10"/>
      <c r="AK2" s="10"/>
      <c r="AL2" s="10"/>
      <c r="AM2" s="10"/>
      <c r="AN2" s="10"/>
      <c r="AO2" s="10"/>
      <c r="AP2" s="10"/>
      <c r="AQ2" s="10"/>
      <c r="AR2" s="10"/>
      <c r="AS2" s="10"/>
      <c r="AT2" s="10"/>
      <c r="AU2" s="10"/>
      <c r="AV2" s="10"/>
    </row>
    <row r="3" ht="12.75" customHeight="1">
      <c r="A3" s="3" t="s">
        <v>55</v>
      </c>
      <c r="B3" s="11" t="s">
        <v>56</v>
      </c>
      <c r="C3" s="11" t="s">
        <v>57</v>
      </c>
      <c r="D3" s="11" t="s">
        <v>58</v>
      </c>
      <c r="E3" s="11" t="s">
        <v>59</v>
      </c>
      <c r="F3" s="11" t="s">
        <v>60</v>
      </c>
      <c r="G3" s="12">
        <v>19506.0</v>
      </c>
      <c r="H3" s="13" t="s">
        <v>61</v>
      </c>
      <c r="I3" s="13" t="s">
        <v>62</v>
      </c>
      <c r="J3" s="13"/>
      <c r="K3" s="13" t="s">
        <v>63</v>
      </c>
      <c r="L3" s="14">
        <v>45607.0</v>
      </c>
      <c r="M3" s="15">
        <v>41854.0</v>
      </c>
      <c r="N3" s="16">
        <v>45637.0</v>
      </c>
      <c r="O3" s="17" t="s">
        <v>64</v>
      </c>
      <c r="P3" s="16">
        <v>41856.0</v>
      </c>
      <c r="Q3" s="17" t="s">
        <v>65</v>
      </c>
      <c r="R3" s="11" t="s">
        <v>66</v>
      </c>
      <c r="S3" s="11" t="s">
        <v>67</v>
      </c>
      <c r="T3" s="13" t="s">
        <v>68</v>
      </c>
      <c r="U3" s="13" t="s">
        <v>69</v>
      </c>
      <c r="V3" s="13" t="s">
        <v>70</v>
      </c>
      <c r="W3" s="13" t="s">
        <v>71</v>
      </c>
      <c r="X3" s="13" t="s">
        <v>72</v>
      </c>
      <c r="Y3" s="13" t="s">
        <v>73</v>
      </c>
      <c r="Z3" s="13" t="s">
        <v>74</v>
      </c>
      <c r="AA3" s="16">
        <v>45874.0</v>
      </c>
      <c r="AB3" s="13" t="s">
        <v>75</v>
      </c>
      <c r="AC3" s="2"/>
      <c r="AD3" s="2"/>
      <c r="AE3" s="2"/>
      <c r="AF3" s="2"/>
      <c r="AG3" s="2"/>
      <c r="AH3" s="2"/>
      <c r="AI3" s="2"/>
      <c r="AJ3" s="2"/>
      <c r="AK3" s="2"/>
      <c r="AL3" s="2"/>
      <c r="AM3" s="2"/>
      <c r="AN3" s="2"/>
      <c r="AO3" s="2"/>
      <c r="AP3" s="2"/>
      <c r="AQ3" s="2"/>
      <c r="AR3" s="2"/>
      <c r="AS3" s="2"/>
      <c r="AT3" s="2"/>
      <c r="AU3" s="2"/>
      <c r="AV3" s="2"/>
    </row>
    <row r="4" ht="12.75" customHeight="1">
      <c r="A4" s="18" t="s">
        <v>76</v>
      </c>
      <c r="B4" s="19" t="s">
        <v>77</v>
      </c>
      <c r="C4" s="19" t="s">
        <v>77</v>
      </c>
      <c r="D4" s="19" t="s">
        <v>77</v>
      </c>
      <c r="E4" s="19" t="s">
        <v>77</v>
      </c>
      <c r="F4" s="19" t="s">
        <v>77</v>
      </c>
      <c r="G4" s="19" t="s">
        <v>78</v>
      </c>
      <c r="H4" s="19" t="s">
        <v>77</v>
      </c>
      <c r="I4" s="19" t="s">
        <v>77</v>
      </c>
      <c r="J4" s="19" t="s">
        <v>78</v>
      </c>
      <c r="K4" s="19" t="s">
        <v>79</v>
      </c>
      <c r="L4" s="19" t="s">
        <v>79</v>
      </c>
      <c r="M4" s="19" t="s">
        <v>77</v>
      </c>
      <c r="N4" s="19" t="s">
        <v>77</v>
      </c>
      <c r="O4" s="19" t="s">
        <v>77</v>
      </c>
      <c r="P4" s="19" t="s">
        <v>78</v>
      </c>
      <c r="Q4" s="20" t="s">
        <v>78</v>
      </c>
      <c r="R4" s="19" t="s">
        <v>77</v>
      </c>
      <c r="S4" s="20" t="s">
        <v>78</v>
      </c>
      <c r="T4" s="20" t="s">
        <v>78</v>
      </c>
      <c r="U4" s="20" t="s">
        <v>78</v>
      </c>
      <c r="V4" s="20" t="s">
        <v>78</v>
      </c>
      <c r="W4" s="20" t="s">
        <v>78</v>
      </c>
      <c r="X4" s="20" t="s">
        <v>78</v>
      </c>
      <c r="Y4" s="20" t="s">
        <v>78</v>
      </c>
      <c r="Z4" s="20" t="s">
        <v>78</v>
      </c>
      <c r="AA4" s="20" t="s">
        <v>78</v>
      </c>
      <c r="AB4" s="20" t="s">
        <v>78</v>
      </c>
      <c r="AC4" s="2"/>
      <c r="AD4" s="2"/>
      <c r="AE4" s="2"/>
      <c r="AF4" s="2"/>
      <c r="AG4" s="2"/>
      <c r="AH4" s="2"/>
      <c r="AI4" s="2"/>
      <c r="AJ4" s="2"/>
      <c r="AK4" s="2"/>
      <c r="AL4" s="2"/>
      <c r="AM4" s="2"/>
      <c r="AN4" s="2"/>
      <c r="AO4" s="2"/>
      <c r="AP4" s="2"/>
      <c r="AQ4" s="2"/>
      <c r="AR4" s="2"/>
      <c r="AS4" s="2"/>
      <c r="AT4" s="2"/>
      <c r="AU4" s="2"/>
      <c r="AV4" s="2"/>
    </row>
    <row r="5" ht="12.75" customHeight="1">
      <c r="A5" s="2"/>
      <c r="B5" s="2" t="s">
        <v>80</v>
      </c>
      <c r="C5" s="2" t="s">
        <v>81</v>
      </c>
      <c r="D5" s="2" t="s">
        <v>82</v>
      </c>
      <c r="E5" s="2" t="s">
        <v>83</v>
      </c>
      <c r="F5" s="2" t="s">
        <v>84</v>
      </c>
      <c r="G5" s="2">
        <v>170100</v>
      </c>
      <c r="H5" s="2" t="s">
        <v>85</v>
      </c>
      <c r="I5" s="2" t="s">
        <v>86</v>
      </c>
      <c r="J5" s="2" t="s">
        <v>87</v>
      </c>
      <c r="K5" s="2" t="s">
        <v>88</v>
      </c>
      <c r="L5" s="21">
        <v>46178</v>
      </c>
      <c r="M5" s="22">
        <f>IF(OR(S5="N/A",ISBLANK(S5),T5&lt;&gt;"Yes"),IF(OR(R5="Critical",R5="High"),L5+30,IF(R5="Moderate",L5+90,IF(R5="Low",L5+180,""))),IF(OR(S5="Critical",S5="High"),L5+30,IF(S5="Moderate",L5+90,IF(S5="Low",L5+180,""))))</f>
        <v>46208</v>
      </c>
      <c r="N5" s="21">
        <v>46325</v>
      </c>
      <c r="O5" s="2" t="s">
        <v>69</v>
      </c>
      <c r="P5" s="21"/>
      <c r="Q5" s="2"/>
      <c r="R5" s="2" t="s">
        <v>89</v>
      </c>
      <c r="S5" s="2"/>
      <c r="T5" s="2" t="s">
        <v>69</v>
      </c>
      <c r="U5" s="2" t="s">
        <v>69</v>
      </c>
      <c r="V5" s="2" t="s">
        <v>69</v>
      </c>
      <c r="W5" s="2"/>
      <c r="X5" s="2" t="s">
        <v>90</v>
      </c>
      <c r="Y5" s="2" t="s">
        <v>91</v>
      </c>
      <c r="Z5" s="2" t="s">
        <v>68</v>
      </c>
      <c r="AA5" s="21">
        <v>45148</v>
      </c>
      <c r="AB5" s="2" t="s">
        <v>92</v>
      </c>
    </row>
    <row r="6" ht="12.75" customHeight="1">
      <c r="A6" s="2"/>
      <c r="B6" s="2" t="s">
        <v>93</v>
      </c>
      <c r="C6" s="2" t="s">
        <v>94</v>
      </c>
      <c r="D6" s="2" t="s">
        <v>95</v>
      </c>
      <c r="E6" s="2" t="s">
        <v>96</v>
      </c>
      <c r="F6" s="2" t="s">
        <v>84</v>
      </c>
      <c r="G6" s="2">
        <v>170101</v>
      </c>
      <c r="H6" s="2" t="s">
        <v>97</v>
      </c>
      <c r="I6" s="2" t="s">
        <v>86</v>
      </c>
      <c r="J6" s="2" t="s">
        <v>87</v>
      </c>
      <c r="K6" s="2" t="s">
        <v>98</v>
      </c>
      <c r="L6" s="21">
        <v>46209</v>
      </c>
      <c r="M6" s="22">
        <f>IF(OR(S6="N/A",ISBLANK(S6),T6&lt;&gt;"Yes"),IF(OR(R6="Critical",R6="High"),L6+30,IF(R6="Moderate",L6+90,IF(R6="Low",L6+180,""))),IF(OR(S6="Critical",S6="High"),L6+30,IF(S6="Moderate",L6+90,IF(S6="Low",L6+180,""))))</f>
        <v>46239</v>
      </c>
      <c r="N6" s="21">
        <v>46325</v>
      </c>
      <c r="O6" s="2" t="s">
        <v>69</v>
      </c>
      <c r="P6" s="21"/>
      <c r="Q6" s="2"/>
      <c r="R6" s="2" t="s">
        <v>89</v>
      </c>
      <c r="S6" s="2"/>
      <c r="T6" s="2" t="s">
        <v>69</v>
      </c>
      <c r="U6" s="2" t="s">
        <v>69</v>
      </c>
      <c r="V6" s="2" t="s">
        <v>69</v>
      </c>
      <c r="W6" s="2"/>
      <c r="X6" s="2" t="s">
        <v>90</v>
      </c>
      <c r="Y6" s="2" t="s">
        <v>91</v>
      </c>
      <c r="Z6" s="2" t="s">
        <v>68</v>
      </c>
      <c r="AA6" s="21">
        <v>44554</v>
      </c>
      <c r="AB6" s="2" t="s">
        <v>99</v>
      </c>
    </row>
    <row r="7" ht="12.75" customHeight="1">
      <c r="A7" s="2"/>
      <c r="B7" s="2" t="s">
        <v>100</v>
      </c>
      <c r="C7" s="2" t="s">
        <v>101</v>
      </c>
      <c r="D7" s="2" t="s">
        <v>102</v>
      </c>
      <c r="E7" s="2" t="s">
        <v>103</v>
      </c>
      <c r="F7" s="2" t="s">
        <v>84</v>
      </c>
      <c r="G7" s="2">
        <v>170102</v>
      </c>
      <c r="H7" s="2" t="s">
        <v>104</v>
      </c>
      <c r="I7" s="2" t="s">
        <v>86</v>
      </c>
      <c r="J7" s="2" t="s">
        <v>87</v>
      </c>
      <c r="K7" s="2" t="s">
        <v>105</v>
      </c>
      <c r="L7" s="21">
        <v>46241</v>
      </c>
      <c r="M7" s="22">
        <f>IF(OR(S7="N/A",ISBLANK(S7),T7&lt;&gt;"Yes"),IF(OR(R7="Critical",R7="High"),L7+30,IF(R7="Moderate",L7+90,IF(R7="Low",L7+180,""))),IF(OR(S7="Critical",S7="High"),L7+30,IF(S7="Moderate",L7+90,IF(S7="Low",L7+180,""))))</f>
        <v>46271</v>
      </c>
      <c r="N7" s="21">
        <v>46325</v>
      </c>
      <c r="O7" s="2" t="s">
        <v>69</v>
      </c>
      <c r="P7" s="21"/>
      <c r="Q7" s="2"/>
      <c r="R7" s="2" t="s">
        <v>89</v>
      </c>
      <c r="S7" s="2"/>
      <c r="T7" s="2" t="s">
        <v>69</v>
      </c>
      <c r="U7" s="2" t="s">
        <v>69</v>
      </c>
      <c r="V7" s="2" t="s">
        <v>69</v>
      </c>
      <c r="W7" s="2"/>
      <c r="X7" s="2" t="s">
        <v>90</v>
      </c>
      <c r="Y7" s="2" t="s">
        <v>91</v>
      </c>
      <c r="Z7" s="2" t="s">
        <v>68</v>
      </c>
      <c r="AA7" s="21">
        <v>45503</v>
      </c>
      <c r="AB7" s="2" t="s">
        <v>106</v>
      </c>
    </row>
    <row r="8" ht="12.75" customHeight="1">
      <c r="A8" s="2"/>
      <c r="B8" s="2" t="s">
        <v>107</v>
      </c>
      <c r="C8" s="2" t="s">
        <v>94</v>
      </c>
      <c r="D8" s="2" t="s">
        <v>108</v>
      </c>
      <c r="E8" s="2" t="s">
        <v>109</v>
      </c>
      <c r="F8" s="2" t="s">
        <v>84</v>
      </c>
      <c r="G8" s="2">
        <v>170103</v>
      </c>
      <c r="H8" s="2" t="s">
        <v>110</v>
      </c>
      <c r="I8" s="2" t="s">
        <v>86</v>
      </c>
      <c r="J8" s="2" t="s">
        <v>87</v>
      </c>
      <c r="K8" s="2" t="s">
        <v>111</v>
      </c>
      <c r="L8" s="21">
        <v>46273</v>
      </c>
      <c r="M8" s="22">
        <f>IF(OR(S8="N/A",ISBLANK(S8),T8&lt;&gt;"Yes"),IF(OR(R8="Critical",R8="High"),L8+30,IF(R8="Moderate",L8+90,IF(R8="Low",L8+180,""))),IF(OR(S8="Critical",S8="High"),L8+30,IF(S8="Moderate",L8+90,IF(S8="Low",L8+180,""))))</f>
        <v>46303</v>
      </c>
      <c r="N8" s="21">
        <v>46325</v>
      </c>
      <c r="O8" s="2" t="s">
        <v>69</v>
      </c>
      <c r="P8" s="21"/>
      <c r="Q8" s="2"/>
      <c r="R8" s="2" t="s">
        <v>89</v>
      </c>
      <c r="S8" s="2"/>
      <c r="T8" s="2" t="s">
        <v>69</v>
      </c>
      <c r="U8" s="2" t="s">
        <v>69</v>
      </c>
      <c r="V8" s="2" t="s">
        <v>69</v>
      </c>
      <c r="W8" s="2"/>
      <c r="X8" s="2" t="s">
        <v>90</v>
      </c>
      <c r="Y8" s="2" t="s">
        <v>91</v>
      </c>
      <c r="Z8" s="2" t="s">
        <v>68</v>
      </c>
      <c r="AA8" s="21">
        <v>45230</v>
      </c>
      <c r="AB8" s="2" t="s">
        <v>112</v>
      </c>
    </row>
    <row r="9" ht="12.75" customHeight="1">
      <c r="A9" s="2"/>
      <c r="B9" s="2" t="s">
        <v>113</v>
      </c>
      <c r="C9" s="2" t="s">
        <v>101</v>
      </c>
      <c r="D9" s="2" t="s">
        <v>114</v>
      </c>
      <c r="E9" s="2" t="s">
        <v>115</v>
      </c>
      <c r="F9" s="2" t="s">
        <v>84</v>
      </c>
      <c r="G9" s="2">
        <v>170104</v>
      </c>
      <c r="H9" s="2" t="s">
        <v>116</v>
      </c>
      <c r="I9" s="2" t="s">
        <v>86</v>
      </c>
      <c r="J9" s="2" t="s">
        <v>87</v>
      </c>
      <c r="K9" s="2" t="s">
        <v>117</v>
      </c>
      <c r="L9" s="21">
        <v>46182</v>
      </c>
      <c r="M9" s="22">
        <f>IF(OR(S9="N/A",ISBLANK(S9),T9&lt;&gt;"Yes"),IF(OR(R9="Critical",R9="High"),L9+30,IF(R9="Moderate",L9+90,IF(R9="Low",L9+180,""))),IF(OR(S9="Critical",S9="High"),L9+30,IF(S9="Moderate",L9+90,IF(S9="Low",L9+180,""))))</f>
        <v>46212</v>
      </c>
      <c r="N9" s="21">
        <v>46325</v>
      </c>
      <c r="O9" s="2" t="s">
        <v>69</v>
      </c>
      <c r="P9" s="21"/>
      <c r="Q9" s="2"/>
      <c r="R9" s="2" t="s">
        <v>89</v>
      </c>
      <c r="S9" s="2"/>
      <c r="T9" s="2" t="s">
        <v>69</v>
      </c>
      <c r="U9" s="2" t="s">
        <v>69</v>
      </c>
      <c r="V9" s="2" t="s">
        <v>69</v>
      </c>
      <c r="W9" s="2"/>
      <c r="X9" s="2" t="s">
        <v>90</v>
      </c>
      <c r="Y9" s="2" t="s">
        <v>91</v>
      </c>
      <c r="Z9" s="2" t="s">
        <v>68</v>
      </c>
      <c r="AA9" s="21">
        <v>45401</v>
      </c>
      <c r="AB9" s="2" t="s">
        <v>118</v>
      </c>
    </row>
    <row r="10" ht="12.75" customHeight="1">
      <c r="A10" s="2"/>
      <c r="B10" s="2" t="s">
        <v>119</v>
      </c>
      <c r="C10" s="2" t="s">
        <v>94</v>
      </c>
      <c r="D10" s="2" t="s">
        <v>120</v>
      </c>
      <c r="E10" s="2" t="s">
        <v>121</v>
      </c>
      <c r="F10" s="2" t="s">
        <v>84</v>
      </c>
      <c r="G10" s="2">
        <v>170105</v>
      </c>
      <c r="H10" s="2" t="s">
        <v>122</v>
      </c>
      <c r="I10" s="2" t="s">
        <v>86</v>
      </c>
      <c r="J10" s="2" t="s">
        <v>87</v>
      </c>
      <c r="K10" s="2" t="s">
        <v>123</v>
      </c>
      <c r="L10" s="21">
        <v>46213</v>
      </c>
      <c r="M10" s="22">
        <f>IF(OR(S10="N/A",ISBLANK(S10),T10&lt;&gt;"Yes"),IF(OR(R10="Critical",R10="High"),L10+30,IF(R10="Moderate",L10+90,IF(R10="Low",L10+180,""))),IF(OR(S10="Critical",S10="High"),L10+30,IF(S10="Moderate",L10+90,IF(S10="Low",L10+180,""))))</f>
        <v>46243</v>
      </c>
      <c r="N10" s="21">
        <v>46325</v>
      </c>
      <c r="O10" s="2" t="s">
        <v>69</v>
      </c>
      <c r="P10" s="21"/>
      <c r="Q10" s="2"/>
      <c r="R10" s="2" t="s">
        <v>89</v>
      </c>
      <c r="S10" s="2"/>
      <c r="T10" s="2" t="s">
        <v>69</v>
      </c>
      <c r="U10" s="2" t="s">
        <v>69</v>
      </c>
      <c r="V10" s="2" t="s">
        <v>69</v>
      </c>
      <c r="W10" s="2"/>
      <c r="X10" s="2" t="s">
        <v>90</v>
      </c>
      <c r="Y10" s="2" t="s">
        <v>91</v>
      </c>
      <c r="Z10" s="2" t="s">
        <v>68</v>
      </c>
      <c r="AA10" s="21">
        <v>44882</v>
      </c>
      <c r="AB10" s="2" t="s">
        <v>124</v>
      </c>
    </row>
    <row r="11" ht="12.75" customHeight="1">
      <c r="A11" s="2"/>
      <c r="B11" s="2" t="s">
        <v>125</v>
      </c>
      <c r="C11" s="2" t="s">
        <v>126</v>
      </c>
      <c r="D11" s="2" t="s">
        <v>127</v>
      </c>
      <c r="E11" s="2" t="s">
        <v>128</v>
      </c>
      <c r="F11" s="2" t="s">
        <v>84</v>
      </c>
      <c r="G11" s="2">
        <v>170106</v>
      </c>
      <c r="H11" s="2" t="s">
        <v>129</v>
      </c>
      <c r="I11" s="2" t="s">
        <v>86</v>
      </c>
      <c r="J11" s="2" t="s">
        <v>87</v>
      </c>
      <c r="K11" s="2" t="s">
        <v>130</v>
      </c>
      <c r="L11" s="21">
        <v>46245</v>
      </c>
      <c r="M11" s="22">
        <f>IF(OR(S11="N/A",ISBLANK(S11),T11&lt;&gt;"Yes"),IF(OR(R11="Critical",R11="High"),L11+30,IF(R11="Moderate",L11+90,IF(R11="Low",L11+180,""))),IF(OR(S11="Critical",S11="High"),L11+30,IF(S11="Moderate",L11+90,IF(S11="Low",L11+180,""))))</f>
        <v>46275</v>
      </c>
      <c r="N11" s="21">
        <v>46325</v>
      </c>
      <c r="O11" s="2" t="s">
        <v>69</v>
      </c>
      <c r="P11" s="21"/>
      <c r="Q11" s="2"/>
      <c r="R11" s="2" t="s">
        <v>89</v>
      </c>
      <c r="S11" s="2"/>
      <c r="T11" s="2" t="s">
        <v>69</v>
      </c>
      <c r="U11" s="2" t="s">
        <v>69</v>
      </c>
      <c r="V11" s="2" t="s">
        <v>69</v>
      </c>
      <c r="W11" s="2"/>
      <c r="X11" s="2" t="s">
        <v>90</v>
      </c>
      <c r="Y11" s="2" t="s">
        <v>91</v>
      </c>
      <c r="Z11" s="2"/>
      <c r="AA11" s="21"/>
      <c r="AB11" s="2" t="s">
        <v>131</v>
      </c>
    </row>
    <row r="12" ht="12.75" customHeight="1">
      <c r="A12" s="2"/>
      <c r="B12" s="2" t="s">
        <v>132</v>
      </c>
      <c r="C12" s="2" t="s">
        <v>94</v>
      </c>
      <c r="D12" s="2" t="s">
        <v>133</v>
      </c>
      <c r="E12" s="2" t="s">
        <v>134</v>
      </c>
      <c r="F12" s="2" t="s">
        <v>84</v>
      </c>
      <c r="G12" s="2">
        <v>170107</v>
      </c>
      <c r="H12" s="2" t="s">
        <v>135</v>
      </c>
      <c r="I12" s="2" t="s">
        <v>86</v>
      </c>
      <c r="J12" s="2" t="s">
        <v>87</v>
      </c>
      <c r="K12" s="2" t="s">
        <v>136</v>
      </c>
      <c r="L12" s="21">
        <v>46277</v>
      </c>
      <c r="M12" s="22">
        <f>IF(OR(S12="N/A",ISBLANK(S12),T12&lt;&gt;"Yes"),IF(OR(R12="Critical",R12="High"),L12+30,IF(R12="Moderate",L12+90,IF(R12="Low",L12+180,""))),IF(OR(S12="Critical",S12="High"),L12+30,IF(S12="Moderate",L12+90,IF(S12="Low",L12+180,""))))</f>
        <v>46307</v>
      </c>
      <c r="N12" s="21">
        <v>46325</v>
      </c>
      <c r="O12" s="2" t="s">
        <v>69</v>
      </c>
      <c r="P12" s="21"/>
      <c r="Q12" s="2"/>
      <c r="R12" s="2" t="s">
        <v>89</v>
      </c>
      <c r="S12" s="2"/>
      <c r="T12" s="2" t="s">
        <v>69</v>
      </c>
      <c r="U12" s="2" t="s">
        <v>69</v>
      </c>
      <c r="V12" s="2" t="s">
        <v>69</v>
      </c>
      <c r="W12" s="2"/>
      <c r="X12" s="2" t="s">
        <v>90</v>
      </c>
      <c r="Y12" s="2" t="s">
        <v>91</v>
      </c>
      <c r="Z12" s="2"/>
      <c r="AA12" s="21"/>
      <c r="AB12" s="2" t="s">
        <v>137</v>
      </c>
    </row>
    <row r="13" ht="12.75" customHeight="1">
      <c r="A13" s="2"/>
      <c r="B13" s="2" t="s">
        <v>138</v>
      </c>
      <c r="C13" s="2" t="s">
        <v>94</v>
      </c>
      <c r="D13" s="2" t="s">
        <v>139</v>
      </c>
      <c r="E13" s="2" t="s">
        <v>140</v>
      </c>
      <c r="F13" s="2" t="s">
        <v>84</v>
      </c>
      <c r="G13" s="2">
        <v>170108</v>
      </c>
      <c r="H13" s="2" t="s">
        <v>141</v>
      </c>
      <c r="I13" s="2" t="s">
        <v>86</v>
      </c>
      <c r="J13" s="2" t="s">
        <v>87</v>
      </c>
      <c r="K13" s="2" t="s">
        <v>142</v>
      </c>
      <c r="L13" s="21">
        <v>46186</v>
      </c>
      <c r="M13" s="22">
        <f>IF(OR(S13="N/A",ISBLANK(S13),T13&lt;&gt;"Yes"),IF(OR(R13="Critical",R13="High"),L13+30,IF(R13="Moderate",L13+90,IF(R13="Low",L13+180,""))),IF(OR(S13="Critical",S13="High"),L13+30,IF(S13="Moderate",L13+90,IF(S13="Low",L13+180,""))))</f>
        <v>46216</v>
      </c>
      <c r="N13" s="21">
        <v>46325</v>
      </c>
      <c r="O13" s="2" t="s">
        <v>69</v>
      </c>
      <c r="P13" s="21"/>
      <c r="Q13" s="2"/>
      <c r="R13" s="2" t="s">
        <v>89</v>
      </c>
      <c r="S13" s="2"/>
      <c r="T13" s="2" t="s">
        <v>69</v>
      </c>
      <c r="U13" s="2" t="s">
        <v>69</v>
      </c>
      <c r="V13" s="2" t="s">
        <v>69</v>
      </c>
      <c r="W13" s="2"/>
      <c r="X13" s="2" t="s">
        <v>90</v>
      </c>
      <c r="Y13" s="2" t="s">
        <v>91</v>
      </c>
      <c r="Z13" s="2"/>
      <c r="AA13" s="21"/>
      <c r="AB13" s="2" t="s">
        <v>143</v>
      </c>
    </row>
    <row r="14" ht="12.75" customHeight="1">
      <c r="A14" s="2"/>
      <c r="B14" s="2" t="s">
        <v>144</v>
      </c>
      <c r="C14" s="2" t="s">
        <v>94</v>
      </c>
      <c r="D14" s="2" t="s">
        <v>145</v>
      </c>
      <c r="E14" s="2" t="s">
        <v>146</v>
      </c>
      <c r="F14" s="2" t="s">
        <v>84</v>
      </c>
      <c r="G14" s="2">
        <v>170109</v>
      </c>
      <c r="H14" s="2" t="s">
        <v>147</v>
      </c>
      <c r="I14" s="2" t="s">
        <v>86</v>
      </c>
      <c r="J14" s="2" t="s">
        <v>87</v>
      </c>
      <c r="K14" s="2" t="s">
        <v>148</v>
      </c>
      <c r="L14" s="21">
        <v>46217</v>
      </c>
      <c r="M14" s="22">
        <f>IF(OR(S14="N/A",ISBLANK(S14),T14&lt;&gt;"Yes"),IF(OR(R14="Critical",R14="High"),L14+30,IF(R14="Moderate",L14+90,IF(R14="Low",L14+180,""))),IF(OR(S14="Critical",S14="High"),L14+30,IF(S14="Moderate",L14+90,IF(S14="Low",L14+180,""))))</f>
        <v>46247</v>
      </c>
      <c r="N14" s="21">
        <v>46325</v>
      </c>
      <c r="O14" s="2" t="s">
        <v>69</v>
      </c>
      <c r="P14" s="21"/>
      <c r="Q14" s="2"/>
      <c r="R14" s="2" t="s">
        <v>89</v>
      </c>
      <c r="S14" s="2"/>
      <c r="T14" s="2" t="s">
        <v>69</v>
      </c>
      <c r="U14" s="2" t="s">
        <v>69</v>
      </c>
      <c r="V14" s="2" t="s">
        <v>69</v>
      </c>
      <c r="W14" s="2"/>
      <c r="X14" s="2" t="s">
        <v>90</v>
      </c>
      <c r="Y14" s="2" t="s">
        <v>91</v>
      </c>
      <c r="Z14" s="2"/>
      <c r="AA14" s="21"/>
      <c r="AB14" s="2" t="s">
        <v>149</v>
      </c>
    </row>
    <row r="15" ht="12.75" customHeight="1">
      <c r="A15" s="2"/>
      <c r="B15" s="2" t="s">
        <v>150</v>
      </c>
      <c r="C15" s="2" t="s">
        <v>81</v>
      </c>
      <c r="D15" s="2" t="s">
        <v>151</v>
      </c>
      <c r="E15" s="2" t="s">
        <v>152</v>
      </c>
      <c r="F15" s="2" t="s">
        <v>84</v>
      </c>
      <c r="G15" s="2">
        <v>170110</v>
      </c>
      <c r="H15" s="2" t="s">
        <v>153</v>
      </c>
      <c r="I15" s="2" t="s">
        <v>86</v>
      </c>
      <c r="J15" s="2" t="s">
        <v>87</v>
      </c>
      <c r="K15" s="2" t="s">
        <v>154</v>
      </c>
      <c r="L15" s="21">
        <v>46249</v>
      </c>
      <c r="M15" s="22">
        <f>IF(OR(S15="N/A",ISBLANK(S15),T15&lt;&gt;"Yes"),IF(OR(R15="Critical",R15="High"),L15+30,IF(R15="Moderate",L15+90,IF(R15="Low",L15+180,""))),IF(OR(S15="Critical",S15="High"),L15+30,IF(S15="Moderate",L15+90,IF(S15="Low",L15+180,""))))</f>
        <v>46279</v>
      </c>
      <c r="N15" s="21">
        <v>46325</v>
      </c>
      <c r="O15" s="2" t="s">
        <v>69</v>
      </c>
      <c r="P15" s="21"/>
      <c r="Q15" s="2"/>
      <c r="R15" s="2" t="s">
        <v>89</v>
      </c>
      <c r="S15" s="2"/>
      <c r="T15" s="2" t="s">
        <v>69</v>
      </c>
      <c r="U15" s="2" t="s">
        <v>69</v>
      </c>
      <c r="V15" s="2" t="s">
        <v>69</v>
      </c>
      <c r="W15" s="2"/>
      <c r="X15" s="2" t="s">
        <v>90</v>
      </c>
      <c r="Y15" s="2" t="s">
        <v>91</v>
      </c>
      <c r="Z15" s="2"/>
      <c r="AA15" s="21"/>
      <c r="AB15" s="2" t="s">
        <v>155</v>
      </c>
    </row>
    <row r="16" ht="12.75" customHeight="1">
      <c r="A16" s="2"/>
      <c r="B16" s="2" t="s">
        <v>156</v>
      </c>
      <c r="C16" s="2" t="s">
        <v>94</v>
      </c>
      <c r="D16" s="2" t="s">
        <v>157</v>
      </c>
      <c r="E16" s="2" t="s">
        <v>158</v>
      </c>
      <c r="F16" s="2" t="s">
        <v>84</v>
      </c>
      <c r="G16" s="2">
        <v>170111</v>
      </c>
      <c r="H16" s="2" t="s">
        <v>159</v>
      </c>
      <c r="I16" s="2" t="s">
        <v>86</v>
      </c>
      <c r="J16" s="2" t="s">
        <v>87</v>
      </c>
      <c r="K16" s="2" t="s">
        <v>160</v>
      </c>
      <c r="L16" s="21">
        <v>46281</v>
      </c>
      <c r="M16" s="22">
        <f>IF(OR(S16="N/A",ISBLANK(S16),T16&lt;&gt;"Yes"),IF(OR(R16="Critical",R16="High"),L16+30,IF(R16="Moderate",L16+90,IF(R16="Low",L16+180,""))),IF(OR(S16="Critical",S16="High"),L16+30,IF(S16="Moderate",L16+90,IF(S16="Low",L16+180,""))))</f>
        <v>46311</v>
      </c>
      <c r="N16" s="21">
        <v>46325</v>
      </c>
      <c r="O16" s="2" t="s">
        <v>69</v>
      </c>
      <c r="P16" s="21"/>
      <c r="Q16" s="2"/>
      <c r="R16" s="2" t="s">
        <v>89</v>
      </c>
      <c r="S16" s="2"/>
      <c r="T16" s="2" t="s">
        <v>69</v>
      </c>
      <c r="U16" s="2" t="s">
        <v>69</v>
      </c>
      <c r="V16" s="2" t="s">
        <v>69</v>
      </c>
      <c r="W16" s="2"/>
      <c r="X16" s="2" t="s">
        <v>90</v>
      </c>
      <c r="Y16" s="2" t="s">
        <v>91</v>
      </c>
      <c r="Z16" s="2"/>
      <c r="AA16" s="21"/>
      <c r="AB16" s="2" t="s">
        <v>161</v>
      </c>
    </row>
    <row r="17" ht="12.75" customHeight="1">
      <c r="A17" s="2"/>
      <c r="B17" s="2" t="s">
        <v>162</v>
      </c>
      <c r="C17" s="2" t="s">
        <v>101</v>
      </c>
      <c r="D17" s="2" t="s">
        <v>163</v>
      </c>
      <c r="E17" s="2" t="s">
        <v>164</v>
      </c>
      <c r="F17" s="2" t="s">
        <v>84</v>
      </c>
      <c r="G17" s="2">
        <v>170112</v>
      </c>
      <c r="H17" s="2" t="s">
        <v>165</v>
      </c>
      <c r="I17" s="2" t="s">
        <v>86</v>
      </c>
      <c r="J17" s="2" t="s">
        <v>87</v>
      </c>
      <c r="K17" s="2" t="s">
        <v>166</v>
      </c>
      <c r="L17" s="21">
        <v>46190</v>
      </c>
      <c r="M17" s="22">
        <f>IF(OR(S17="N/A",ISBLANK(S17),T17&lt;&gt;"Yes"),IF(OR(R17="Critical",R17="High"),L17+30,IF(R17="Moderate",L17+90,IF(R17="Low",L17+180,""))),IF(OR(S17="Critical",S17="High"),L17+30,IF(S17="Moderate",L17+90,IF(S17="Low",L17+180,""))))</f>
        <v>46220</v>
      </c>
      <c r="N17" s="21">
        <v>46325</v>
      </c>
      <c r="O17" s="2" t="s">
        <v>69</v>
      </c>
      <c r="P17" s="21"/>
      <c r="Q17" s="2"/>
      <c r="R17" s="2" t="s">
        <v>167</v>
      </c>
      <c r="S17" s="2"/>
      <c r="T17" s="2" t="s">
        <v>69</v>
      </c>
      <c r="U17" s="2" t="s">
        <v>69</v>
      </c>
      <c r="V17" s="2" t="s">
        <v>69</v>
      </c>
      <c r="W17" s="2"/>
      <c r="X17" s="2" t="s">
        <v>90</v>
      </c>
      <c r="Y17" s="2" t="s">
        <v>91</v>
      </c>
      <c r="Z17" s="2"/>
      <c r="AA17" s="21"/>
      <c r="AB17" s="2" t="s">
        <v>168</v>
      </c>
    </row>
    <row r="18" ht="12.75" customHeight="1">
      <c r="A18" s="2"/>
      <c r="B18" s="2" t="s">
        <v>169</v>
      </c>
      <c r="C18" s="2" t="s">
        <v>94</v>
      </c>
      <c r="D18" s="2" t="s">
        <v>170</v>
      </c>
      <c r="E18" s="2" t="s">
        <v>171</v>
      </c>
      <c r="F18" s="2" t="s">
        <v>84</v>
      </c>
      <c r="G18" s="2">
        <v>170113</v>
      </c>
      <c r="H18" s="2" t="s">
        <v>172</v>
      </c>
      <c r="I18" s="2" t="s">
        <v>86</v>
      </c>
      <c r="J18" s="2" t="s">
        <v>87</v>
      </c>
      <c r="K18" s="2" t="s">
        <v>173</v>
      </c>
      <c r="L18" s="21">
        <v>46221</v>
      </c>
      <c r="M18" s="22">
        <f>IF(OR(S18="N/A",ISBLANK(S18),T18&lt;&gt;"Yes"),IF(OR(R18="Critical",R18="High"),L18+30,IF(R18="Moderate",L18+90,IF(R18="Low",L18+180,""))),IF(OR(S18="Critical",S18="High"),L18+30,IF(S18="Moderate",L18+90,IF(S18="Low",L18+180,""))))</f>
        <v>46251</v>
      </c>
      <c r="N18" s="21">
        <v>46325</v>
      </c>
      <c r="O18" s="2" t="s">
        <v>69</v>
      </c>
      <c r="P18" s="21"/>
      <c r="Q18" s="2"/>
      <c r="R18" s="2" t="s">
        <v>167</v>
      </c>
      <c r="S18" s="2"/>
      <c r="T18" s="2" t="s">
        <v>69</v>
      </c>
      <c r="U18" s="2" t="s">
        <v>69</v>
      </c>
      <c r="V18" s="2" t="s">
        <v>69</v>
      </c>
      <c r="W18" s="2"/>
      <c r="X18" s="2" t="s">
        <v>90</v>
      </c>
      <c r="Y18" s="2" t="s">
        <v>91</v>
      </c>
      <c r="Z18" s="2"/>
      <c r="AA18" s="21"/>
      <c r="AB18" s="2" t="s">
        <v>174</v>
      </c>
    </row>
    <row r="19" ht="12.75" customHeight="1">
      <c r="A19" s="2"/>
      <c r="B19" s="2" t="s">
        <v>175</v>
      </c>
      <c r="C19" s="2" t="s">
        <v>101</v>
      </c>
      <c r="D19" s="2" t="s">
        <v>176</v>
      </c>
      <c r="E19" s="2" t="s">
        <v>177</v>
      </c>
      <c r="F19" s="2" t="s">
        <v>84</v>
      </c>
      <c r="G19" s="2">
        <v>170114</v>
      </c>
      <c r="H19" s="2" t="s">
        <v>178</v>
      </c>
      <c r="I19" s="2" t="s">
        <v>86</v>
      </c>
      <c r="J19" s="2" t="s">
        <v>87</v>
      </c>
      <c r="K19" s="2" t="s">
        <v>179</v>
      </c>
      <c r="L19" s="21">
        <v>46253</v>
      </c>
      <c r="M19" s="22">
        <f>IF(OR(S19="N/A",ISBLANK(S19),T19&lt;&gt;"Yes"),IF(OR(R19="Critical",R19="High"),L19+30,IF(R19="Moderate",L19+90,IF(R19="Low",L19+180,""))),IF(OR(S19="Critical",S19="High"),L19+30,IF(S19="Moderate",L19+90,IF(S19="Low",L19+180,""))))</f>
        <v>46283</v>
      </c>
      <c r="N19" s="21">
        <v>46325</v>
      </c>
      <c r="O19" s="2" t="s">
        <v>69</v>
      </c>
      <c r="P19" s="21"/>
      <c r="Q19" s="2"/>
      <c r="R19" s="2" t="s">
        <v>167</v>
      </c>
      <c r="S19" s="2"/>
      <c r="T19" s="2" t="s">
        <v>69</v>
      </c>
      <c r="U19" s="2" t="s">
        <v>69</v>
      </c>
      <c r="V19" s="2" t="s">
        <v>69</v>
      </c>
      <c r="W19" s="2"/>
      <c r="X19" s="2" t="s">
        <v>90</v>
      </c>
      <c r="Y19" s="2" t="s">
        <v>91</v>
      </c>
      <c r="Z19" s="2"/>
      <c r="AA19" s="21"/>
      <c r="AB19" s="2" t="s">
        <v>180</v>
      </c>
    </row>
    <row r="20" ht="12.75" customHeight="1">
      <c r="A20" s="2"/>
      <c r="B20" s="2" t="s">
        <v>181</v>
      </c>
      <c r="C20" s="2" t="s">
        <v>94</v>
      </c>
      <c r="D20" s="2" t="s">
        <v>182</v>
      </c>
      <c r="E20" s="2" t="s">
        <v>183</v>
      </c>
      <c r="F20" s="2" t="s">
        <v>84</v>
      </c>
      <c r="G20" s="2">
        <v>170115</v>
      </c>
      <c r="H20" s="2" t="s">
        <v>184</v>
      </c>
      <c r="I20" s="2" t="s">
        <v>86</v>
      </c>
      <c r="J20" s="2" t="s">
        <v>87</v>
      </c>
      <c r="K20" s="2" t="s">
        <v>185</v>
      </c>
      <c r="L20" s="21">
        <v>46285</v>
      </c>
      <c r="M20" s="22">
        <f>IF(OR(S20="N/A",ISBLANK(S20),T20&lt;&gt;"Yes"),IF(OR(R20="Critical",R20="High"),L20+30,IF(R20="Moderate",L20+90,IF(R20="Low",L20+180,""))),IF(OR(S20="Critical",S20="High"),L20+30,IF(S20="Moderate",L20+90,IF(S20="Low",L20+180,""))))</f>
        <v>46315</v>
      </c>
      <c r="N20" s="21">
        <v>46325</v>
      </c>
      <c r="O20" s="2" t="s">
        <v>69</v>
      </c>
      <c r="P20" s="21"/>
      <c r="Q20" s="2"/>
      <c r="R20" s="2" t="s">
        <v>167</v>
      </c>
      <c r="S20" s="2"/>
      <c r="T20" s="2" t="s">
        <v>69</v>
      </c>
      <c r="U20" s="2" t="s">
        <v>69</v>
      </c>
      <c r="V20" s="2" t="s">
        <v>69</v>
      </c>
      <c r="W20" s="2"/>
      <c r="X20" s="2" t="s">
        <v>90</v>
      </c>
      <c r="Y20" s="2" t="s">
        <v>91</v>
      </c>
      <c r="Z20" s="2"/>
      <c r="AA20" s="21"/>
      <c r="AB20" s="2" t="s">
        <v>186</v>
      </c>
    </row>
    <row r="21" ht="12.75" customHeight="1">
      <c r="A21" s="2"/>
      <c r="B21" s="2" t="s">
        <v>187</v>
      </c>
      <c r="C21" s="2" t="s">
        <v>126</v>
      </c>
      <c r="D21" s="2" t="s">
        <v>188</v>
      </c>
      <c r="E21" s="2" t="s">
        <v>189</v>
      </c>
      <c r="F21" s="2" t="s">
        <v>84</v>
      </c>
      <c r="G21" s="2">
        <v>170116</v>
      </c>
      <c r="H21" s="2" t="s">
        <v>190</v>
      </c>
      <c r="I21" s="2" t="s">
        <v>86</v>
      </c>
      <c r="J21" s="2" t="s">
        <v>87</v>
      </c>
      <c r="K21" s="2" t="s">
        <v>191</v>
      </c>
      <c r="L21" s="21">
        <v>46194</v>
      </c>
      <c r="M21" s="22">
        <f>IF(OR(S21="N/A",ISBLANK(S21),T21&lt;&gt;"Yes"),IF(OR(R21="Critical",R21="High"),L21+30,IF(R21="Moderate",L21+90,IF(R21="Low",L21+180,""))),IF(OR(S21="Critical",S21="High"),L21+30,IF(S21="Moderate",L21+90,IF(S21="Low",L21+180,""))))</f>
        <v>46224</v>
      </c>
      <c r="N21" s="21">
        <v>46325</v>
      </c>
      <c r="O21" s="2" t="s">
        <v>69</v>
      </c>
      <c r="P21" s="21"/>
      <c r="Q21" s="2"/>
      <c r="R21" s="2" t="s">
        <v>167</v>
      </c>
      <c r="S21" s="2"/>
      <c r="T21" s="2" t="s">
        <v>69</v>
      </c>
      <c r="U21" s="2" t="s">
        <v>69</v>
      </c>
      <c r="V21" s="2" t="s">
        <v>69</v>
      </c>
      <c r="W21" s="2"/>
      <c r="X21" s="2" t="s">
        <v>90</v>
      </c>
      <c r="Y21" s="2" t="s">
        <v>91</v>
      </c>
      <c r="Z21" s="2"/>
      <c r="AA21" s="21"/>
      <c r="AB21" s="2" t="s">
        <v>192</v>
      </c>
    </row>
    <row r="22" ht="12.75" customHeight="1">
      <c r="A22" s="2"/>
      <c r="B22" s="2" t="s">
        <v>193</v>
      </c>
      <c r="C22" s="2" t="s">
        <v>94</v>
      </c>
      <c r="D22" s="2" t="s">
        <v>194</v>
      </c>
      <c r="E22" s="2" t="s">
        <v>195</v>
      </c>
      <c r="F22" s="2" t="s">
        <v>84</v>
      </c>
      <c r="G22" s="2">
        <v>170117</v>
      </c>
      <c r="H22" s="2" t="s">
        <v>196</v>
      </c>
      <c r="I22" s="2" t="s">
        <v>86</v>
      </c>
      <c r="J22" s="2" t="s">
        <v>87</v>
      </c>
      <c r="K22" s="2" t="s">
        <v>197</v>
      </c>
      <c r="L22" s="21">
        <v>46225</v>
      </c>
      <c r="M22" s="22">
        <f>IF(OR(S22="N/A",ISBLANK(S22),T22&lt;&gt;"Yes"),IF(OR(R22="Critical",R22="High"),L22+30,IF(R22="Moderate",L22+90,IF(R22="Low",L22+180,""))),IF(OR(S22="Critical",S22="High"),L22+30,IF(S22="Moderate",L22+90,IF(S22="Low",L22+180,""))))</f>
        <v>46255</v>
      </c>
      <c r="N22" s="21">
        <v>46325</v>
      </c>
      <c r="O22" s="2" t="s">
        <v>69</v>
      </c>
      <c r="P22" s="21"/>
      <c r="Q22" s="2"/>
      <c r="R22" s="2" t="s">
        <v>167</v>
      </c>
      <c r="S22" s="2"/>
      <c r="T22" s="2" t="s">
        <v>69</v>
      </c>
      <c r="U22" s="2" t="s">
        <v>69</v>
      </c>
      <c r="V22" s="2" t="s">
        <v>69</v>
      </c>
      <c r="W22" s="2"/>
      <c r="X22" s="2" t="s">
        <v>90</v>
      </c>
      <c r="Y22" s="2" t="s">
        <v>91</v>
      </c>
      <c r="Z22" s="2"/>
      <c r="AA22" s="21"/>
      <c r="AB22" s="2" t="s">
        <v>198</v>
      </c>
    </row>
    <row r="23" ht="12.75" customHeight="1">
      <c r="A23" s="2"/>
      <c r="B23" s="2" t="s">
        <v>199</v>
      </c>
      <c r="C23" s="2" t="s">
        <v>94</v>
      </c>
      <c r="D23" s="2" t="s">
        <v>200</v>
      </c>
      <c r="E23" s="2" t="s">
        <v>201</v>
      </c>
      <c r="F23" s="2" t="s">
        <v>84</v>
      </c>
      <c r="G23" s="2">
        <v>170118</v>
      </c>
      <c r="H23" s="2" t="s">
        <v>202</v>
      </c>
      <c r="I23" s="2" t="s">
        <v>86</v>
      </c>
      <c r="J23" s="2" t="s">
        <v>87</v>
      </c>
      <c r="K23" s="2" t="s">
        <v>203</v>
      </c>
      <c r="L23" s="21">
        <v>46257</v>
      </c>
      <c r="M23" s="22">
        <f>IF(OR(S23="N/A",ISBLANK(S23),T23&lt;&gt;"Yes"),IF(OR(R23="Critical",R23="High"),L23+30,IF(R23="Moderate",L23+90,IF(R23="Low",L23+180,""))),IF(OR(S23="Critical",S23="High"),L23+30,IF(S23="Moderate",L23+90,IF(S23="Low",L23+180,""))))</f>
        <v>46287</v>
      </c>
      <c r="N23" s="21">
        <v>46325</v>
      </c>
      <c r="O23" s="2" t="s">
        <v>69</v>
      </c>
      <c r="P23" s="21"/>
      <c r="Q23" s="2"/>
      <c r="R23" s="2" t="s">
        <v>167</v>
      </c>
      <c r="S23" s="2"/>
      <c r="T23" s="2" t="s">
        <v>69</v>
      </c>
      <c r="U23" s="2" t="s">
        <v>69</v>
      </c>
      <c r="V23" s="2" t="s">
        <v>69</v>
      </c>
      <c r="W23" s="2"/>
      <c r="X23" s="2" t="s">
        <v>90</v>
      </c>
      <c r="Y23" s="2" t="s">
        <v>91</v>
      </c>
      <c r="Z23" s="2"/>
      <c r="AA23" s="21"/>
      <c r="AB23" s="2" t="s">
        <v>204</v>
      </c>
    </row>
    <row r="24" ht="12.75" customHeight="1">
      <c r="A24" s="2"/>
      <c r="B24" s="2" t="s">
        <v>205</v>
      </c>
      <c r="C24" s="2" t="s">
        <v>94</v>
      </c>
      <c r="D24" s="2" t="s">
        <v>206</v>
      </c>
      <c r="E24" s="2" t="s">
        <v>207</v>
      </c>
      <c r="F24" s="2" t="s">
        <v>84</v>
      </c>
      <c r="G24" s="2">
        <v>170119</v>
      </c>
      <c r="H24" s="2" t="s">
        <v>208</v>
      </c>
      <c r="I24" s="2" t="s">
        <v>86</v>
      </c>
      <c r="J24" s="2" t="s">
        <v>87</v>
      </c>
      <c r="K24" s="2" t="s">
        <v>209</v>
      </c>
      <c r="L24" s="21">
        <v>46289</v>
      </c>
      <c r="M24" s="22">
        <f>IF(OR(S24="N/A",ISBLANK(S24),T24&lt;&gt;"Yes"),IF(OR(R24="Critical",R24="High"),L24+30,IF(R24="Moderate",L24+90,IF(R24="Low",L24+180,""))),IF(OR(S24="Critical",S24="High"),L24+30,IF(S24="Moderate",L24+90,IF(S24="Low",L24+180,""))))</f>
        <v>46319</v>
      </c>
      <c r="N24" s="21">
        <v>46325</v>
      </c>
      <c r="O24" s="2" t="s">
        <v>69</v>
      </c>
      <c r="P24" s="21"/>
      <c r="Q24" s="2"/>
      <c r="R24" s="2" t="s">
        <v>167</v>
      </c>
      <c r="S24" s="2"/>
      <c r="T24" s="2" t="s">
        <v>69</v>
      </c>
      <c r="U24" s="2" t="s">
        <v>69</v>
      </c>
      <c r="V24" s="2" t="s">
        <v>69</v>
      </c>
      <c r="W24" s="2"/>
      <c r="X24" s="2" t="s">
        <v>90</v>
      </c>
      <c r="Y24" s="2" t="s">
        <v>91</v>
      </c>
      <c r="Z24" s="2"/>
      <c r="AA24" s="21"/>
      <c r="AB24" s="2" t="s">
        <v>210</v>
      </c>
    </row>
    <row r="25" ht="12.75" customHeight="1">
      <c r="A25" s="2"/>
      <c r="B25" s="2" t="s">
        <v>211</v>
      </c>
      <c r="C25" s="2" t="s">
        <v>81</v>
      </c>
      <c r="D25" s="2" t="s">
        <v>212</v>
      </c>
      <c r="E25" s="2" t="s">
        <v>213</v>
      </c>
      <c r="F25" s="2" t="s">
        <v>84</v>
      </c>
      <c r="G25" s="2">
        <v>170120</v>
      </c>
      <c r="H25" s="2" t="s">
        <v>214</v>
      </c>
      <c r="I25" s="2" t="s">
        <v>86</v>
      </c>
      <c r="J25" s="2" t="s">
        <v>87</v>
      </c>
      <c r="K25" s="2" t="s">
        <v>215</v>
      </c>
      <c r="L25" s="21">
        <v>46178</v>
      </c>
      <c r="M25" s="22">
        <f>IF(OR(S25="N/A",ISBLANK(S25),T25&lt;&gt;"Yes"),IF(OR(R25="Critical",R25="High"),L25+30,IF(R25="Moderate",L25+90,IF(R25="Low",L25+180,""))),IF(OR(S25="Critical",S25="High"),L25+30,IF(S25="Moderate",L25+90,IF(S25="Low",L25+180,""))))</f>
        <v>46208</v>
      </c>
      <c r="N25" s="21">
        <v>46325</v>
      </c>
      <c r="O25" s="2" t="s">
        <v>69</v>
      </c>
      <c r="P25" s="21"/>
      <c r="Q25" s="2"/>
      <c r="R25" s="2" t="s">
        <v>167</v>
      </c>
      <c r="S25" s="2"/>
      <c r="T25" s="2" t="s">
        <v>69</v>
      </c>
      <c r="U25" s="2" t="s">
        <v>69</v>
      </c>
      <c r="V25" s="2" t="s">
        <v>69</v>
      </c>
      <c r="W25" s="2"/>
      <c r="X25" s="2" t="s">
        <v>90</v>
      </c>
      <c r="Y25" s="2" t="s">
        <v>91</v>
      </c>
      <c r="Z25" s="2"/>
      <c r="AA25" s="21"/>
      <c r="AB25" s="2" t="s">
        <v>216</v>
      </c>
    </row>
    <row r="26" ht="12.75" customHeight="1">
      <c r="A26" s="2"/>
      <c r="B26" s="2" t="s">
        <v>217</v>
      </c>
      <c r="C26" s="2" t="s">
        <v>94</v>
      </c>
      <c r="D26" s="2" t="s">
        <v>218</v>
      </c>
      <c r="E26" s="2" t="s">
        <v>219</v>
      </c>
      <c r="F26" s="2" t="s">
        <v>84</v>
      </c>
      <c r="G26" s="2">
        <v>170121</v>
      </c>
      <c r="H26" s="2" t="s">
        <v>220</v>
      </c>
      <c r="I26" s="2" t="s">
        <v>86</v>
      </c>
      <c r="J26" s="2" t="s">
        <v>87</v>
      </c>
      <c r="K26" s="2" t="s">
        <v>221</v>
      </c>
      <c r="L26" s="21">
        <v>46209</v>
      </c>
      <c r="M26" s="22">
        <f>IF(OR(S26="N/A",ISBLANK(S26),T26&lt;&gt;"Yes"),IF(OR(R26="Critical",R26="High"),L26+30,IF(R26="Moderate",L26+90,IF(R26="Low",L26+180,""))),IF(OR(S26="Critical",S26="High"),L26+30,IF(S26="Moderate",L26+90,IF(S26="Low",L26+180,""))))</f>
        <v>46239</v>
      </c>
      <c r="N26" s="21">
        <v>46325</v>
      </c>
      <c r="O26" s="2" t="s">
        <v>69</v>
      </c>
      <c r="P26" s="21"/>
      <c r="Q26" s="2"/>
      <c r="R26" s="2" t="s">
        <v>167</v>
      </c>
      <c r="S26" s="2"/>
      <c r="T26" s="2" t="s">
        <v>69</v>
      </c>
      <c r="U26" s="2" t="s">
        <v>69</v>
      </c>
      <c r="V26" s="2" t="s">
        <v>69</v>
      </c>
      <c r="W26" s="2"/>
      <c r="X26" s="2" t="s">
        <v>90</v>
      </c>
      <c r="Y26" s="2" t="s">
        <v>91</v>
      </c>
      <c r="Z26" s="2"/>
      <c r="AA26" s="21"/>
      <c r="AB26" s="2" t="s">
        <v>222</v>
      </c>
    </row>
    <row r="27" ht="12.75" customHeight="1">
      <c r="A27" s="2"/>
      <c r="B27" s="2" t="s">
        <v>223</v>
      </c>
      <c r="C27" s="2" t="s">
        <v>101</v>
      </c>
      <c r="D27" s="2" t="s">
        <v>224</v>
      </c>
      <c r="E27" s="2" t="s">
        <v>225</v>
      </c>
      <c r="F27" s="2" t="s">
        <v>84</v>
      </c>
      <c r="G27" s="2">
        <v>170122</v>
      </c>
      <c r="H27" s="2" t="s">
        <v>226</v>
      </c>
      <c r="I27" s="2" t="s">
        <v>86</v>
      </c>
      <c r="J27" s="2" t="s">
        <v>87</v>
      </c>
      <c r="K27" s="2" t="s">
        <v>227</v>
      </c>
      <c r="L27" s="21">
        <v>46241</v>
      </c>
      <c r="M27" s="22">
        <f>IF(OR(S27="N/A",ISBLANK(S27),T27&lt;&gt;"Yes"),IF(OR(R27="Critical",R27="High"),L27+30,IF(R27="Moderate",L27+90,IF(R27="Low",L27+180,""))),IF(OR(S27="Critical",S27="High"),L27+30,IF(S27="Moderate",L27+90,IF(S27="Low",L27+180,""))))</f>
        <v>46271</v>
      </c>
      <c r="N27" s="21">
        <v>46325</v>
      </c>
      <c r="O27" s="2" t="s">
        <v>69</v>
      </c>
      <c r="P27" s="21"/>
      <c r="Q27" s="2"/>
      <c r="R27" s="2" t="s">
        <v>167</v>
      </c>
      <c r="S27" s="2"/>
      <c r="T27" s="2" t="s">
        <v>69</v>
      </c>
      <c r="U27" s="2" t="s">
        <v>69</v>
      </c>
      <c r="V27" s="2" t="s">
        <v>69</v>
      </c>
      <c r="W27" s="2"/>
      <c r="X27" s="2" t="s">
        <v>90</v>
      </c>
      <c r="Y27" s="2" t="s">
        <v>91</v>
      </c>
      <c r="Z27" s="2"/>
      <c r="AA27" s="21"/>
      <c r="AB27" s="2" t="s">
        <v>228</v>
      </c>
    </row>
    <row r="28" ht="12.75" customHeight="1">
      <c r="A28" s="2"/>
      <c r="B28" s="2" t="s">
        <v>229</v>
      </c>
      <c r="C28" s="2" t="s">
        <v>94</v>
      </c>
      <c r="D28" s="2" t="s">
        <v>230</v>
      </c>
      <c r="E28" s="2" t="s">
        <v>231</v>
      </c>
      <c r="F28" s="2" t="s">
        <v>84</v>
      </c>
      <c r="G28" s="2">
        <v>170123</v>
      </c>
      <c r="H28" s="2" t="s">
        <v>232</v>
      </c>
      <c r="I28" s="2" t="s">
        <v>86</v>
      </c>
      <c r="J28" s="2" t="s">
        <v>87</v>
      </c>
      <c r="K28" s="2" t="s">
        <v>233</v>
      </c>
      <c r="L28" s="21">
        <v>46273</v>
      </c>
      <c r="M28" s="22">
        <f>IF(OR(S28="N/A",ISBLANK(S28),T28&lt;&gt;"Yes"),IF(OR(R28="Critical",R28="High"),L28+30,IF(R28="Moderate",L28+90,IF(R28="Low",L28+180,""))),IF(OR(S28="Critical",S28="High"),L28+30,IF(S28="Moderate",L28+90,IF(S28="Low",L28+180,""))))</f>
        <v>46303</v>
      </c>
      <c r="N28" s="21">
        <v>46325</v>
      </c>
      <c r="O28" s="2" t="s">
        <v>69</v>
      </c>
      <c r="P28" s="21"/>
      <c r="Q28" s="2"/>
      <c r="R28" s="2" t="s">
        <v>167</v>
      </c>
      <c r="S28" s="2"/>
      <c r="T28" s="2" t="s">
        <v>69</v>
      </c>
      <c r="U28" s="2" t="s">
        <v>69</v>
      </c>
      <c r="V28" s="2" t="s">
        <v>69</v>
      </c>
      <c r="W28" s="2"/>
      <c r="X28" s="2" t="s">
        <v>90</v>
      </c>
      <c r="Y28" s="2" t="s">
        <v>91</v>
      </c>
      <c r="Z28" s="2"/>
      <c r="AA28" s="21"/>
      <c r="AB28" s="2" t="s">
        <v>234</v>
      </c>
    </row>
    <row r="29" ht="12.75" customHeight="1">
      <c r="A29" s="2"/>
      <c r="B29" s="2" t="s">
        <v>235</v>
      </c>
      <c r="C29" s="2" t="s">
        <v>101</v>
      </c>
      <c r="D29" s="2" t="s">
        <v>236</v>
      </c>
      <c r="E29" s="2" t="s">
        <v>237</v>
      </c>
      <c r="F29" s="2" t="s">
        <v>84</v>
      </c>
      <c r="G29" s="2">
        <v>170124</v>
      </c>
      <c r="H29" s="2" t="s">
        <v>238</v>
      </c>
      <c r="I29" s="2" t="s">
        <v>86</v>
      </c>
      <c r="J29" s="2" t="s">
        <v>87</v>
      </c>
      <c r="K29" s="2" t="s">
        <v>239</v>
      </c>
      <c r="L29" s="21">
        <v>46182</v>
      </c>
      <c r="M29" s="22">
        <f>IF(OR(S29="N/A",ISBLANK(S29),T29&lt;&gt;"Yes"),IF(OR(R29="Critical",R29="High"),L29+30,IF(R29="Moderate",L29+90,IF(R29="Low",L29+180,""))),IF(OR(S29="Critical",S29="High"),L29+30,IF(S29="Moderate",L29+90,IF(S29="Low",L29+180,""))))</f>
        <v>46212</v>
      </c>
      <c r="N29" s="21">
        <v>46325</v>
      </c>
      <c r="O29" s="2" t="s">
        <v>69</v>
      </c>
      <c r="P29" s="21"/>
      <c r="Q29" s="2"/>
      <c r="R29" s="2" t="s">
        <v>167</v>
      </c>
      <c r="S29" s="2"/>
      <c r="T29" s="2" t="s">
        <v>69</v>
      </c>
      <c r="U29" s="2" t="s">
        <v>69</v>
      </c>
      <c r="V29" s="2" t="s">
        <v>69</v>
      </c>
      <c r="W29" s="2"/>
      <c r="X29" s="2" t="s">
        <v>90</v>
      </c>
      <c r="Y29" s="2" t="s">
        <v>91</v>
      </c>
      <c r="Z29" s="2"/>
      <c r="AA29" s="21"/>
      <c r="AB29" s="2" t="s">
        <v>240</v>
      </c>
    </row>
    <row r="30" ht="12.75" customHeight="1">
      <c r="A30" s="2"/>
      <c r="B30" s="2" t="s">
        <v>241</v>
      </c>
      <c r="C30" s="2" t="s">
        <v>94</v>
      </c>
      <c r="D30" s="2" t="s">
        <v>242</v>
      </c>
      <c r="E30" s="2" t="s">
        <v>243</v>
      </c>
      <c r="F30" s="2" t="s">
        <v>84</v>
      </c>
      <c r="G30" s="2">
        <v>170125</v>
      </c>
      <c r="H30" s="2" t="s">
        <v>244</v>
      </c>
      <c r="I30" s="2" t="s">
        <v>86</v>
      </c>
      <c r="J30" s="2" t="s">
        <v>87</v>
      </c>
      <c r="K30" s="2" t="s">
        <v>245</v>
      </c>
      <c r="L30" s="21">
        <v>46213</v>
      </c>
      <c r="M30" s="22">
        <f>IF(OR(S30="N/A",ISBLANK(S30),T30&lt;&gt;"Yes"),IF(OR(R30="Critical",R30="High"),L30+30,IF(R30="Moderate",L30+90,IF(R30="Low",L30+180,""))),IF(OR(S30="Critical",S30="High"),L30+30,IF(S30="Moderate",L30+90,IF(S30="Low",L30+180,""))))</f>
        <v>46243</v>
      </c>
      <c r="N30" s="21">
        <v>46325</v>
      </c>
      <c r="O30" s="2" t="s">
        <v>69</v>
      </c>
      <c r="P30" s="21"/>
      <c r="Q30" s="2"/>
      <c r="R30" s="2" t="s">
        <v>167</v>
      </c>
      <c r="S30" s="2"/>
      <c r="T30" s="2" t="s">
        <v>69</v>
      </c>
      <c r="U30" s="2" t="s">
        <v>69</v>
      </c>
      <c r="V30" s="2" t="s">
        <v>69</v>
      </c>
      <c r="W30" s="2"/>
      <c r="X30" s="2" t="s">
        <v>90</v>
      </c>
      <c r="Y30" s="2" t="s">
        <v>91</v>
      </c>
      <c r="Z30" s="2"/>
      <c r="AA30" s="21"/>
      <c r="AB30" s="2" t="s">
        <v>246</v>
      </c>
    </row>
    <row r="31" ht="12.75" customHeight="1">
      <c r="A31" s="2"/>
      <c r="B31" s="2" t="s">
        <v>247</v>
      </c>
      <c r="C31" s="2" t="s">
        <v>126</v>
      </c>
      <c r="D31" s="2" t="s">
        <v>248</v>
      </c>
      <c r="E31" s="2" t="s">
        <v>249</v>
      </c>
      <c r="F31" s="2" t="s">
        <v>84</v>
      </c>
      <c r="G31" s="2">
        <v>170126</v>
      </c>
      <c r="H31" s="2" t="s">
        <v>250</v>
      </c>
      <c r="I31" s="2" t="s">
        <v>86</v>
      </c>
      <c r="J31" s="2" t="s">
        <v>87</v>
      </c>
      <c r="K31" s="2" t="s">
        <v>251</v>
      </c>
      <c r="L31" s="21">
        <v>46245</v>
      </c>
      <c r="M31" s="22">
        <f>IF(OR(S31="N/A",ISBLANK(S31),T31&lt;&gt;"Yes"),IF(OR(R31="Critical",R31="High"),L31+30,IF(R31="Moderate",L31+90,IF(R31="Low",L31+180,""))),IF(OR(S31="Critical",S31="High"),L31+30,IF(S31="Moderate",L31+90,IF(S31="Low",L31+180,""))))</f>
        <v>46275</v>
      </c>
      <c r="N31" s="21">
        <v>46325</v>
      </c>
      <c r="O31" s="2" t="s">
        <v>69</v>
      </c>
      <c r="P31" s="21"/>
      <c r="Q31" s="2"/>
      <c r="R31" s="2" t="s">
        <v>167</v>
      </c>
      <c r="S31" s="2"/>
      <c r="T31" s="2" t="s">
        <v>69</v>
      </c>
      <c r="U31" s="2" t="s">
        <v>69</v>
      </c>
      <c r="V31" s="2" t="s">
        <v>69</v>
      </c>
      <c r="W31" s="2"/>
      <c r="X31" s="2" t="s">
        <v>90</v>
      </c>
      <c r="Y31" s="2" t="s">
        <v>91</v>
      </c>
      <c r="Z31" s="2"/>
      <c r="AA31" s="21"/>
      <c r="AB31" s="2" t="s">
        <v>252</v>
      </c>
    </row>
    <row r="32" ht="12.75" customHeight="1">
      <c r="A32" s="2"/>
      <c r="B32" s="2" t="s">
        <v>253</v>
      </c>
      <c r="C32" s="2" t="s">
        <v>94</v>
      </c>
      <c r="D32" s="2" t="s">
        <v>254</v>
      </c>
      <c r="E32" s="2" t="s">
        <v>255</v>
      </c>
      <c r="F32" s="2" t="s">
        <v>84</v>
      </c>
      <c r="G32" s="2">
        <v>170127</v>
      </c>
      <c r="H32" s="2" t="s">
        <v>256</v>
      </c>
      <c r="I32" s="2" t="s">
        <v>86</v>
      </c>
      <c r="J32" s="2" t="s">
        <v>87</v>
      </c>
      <c r="K32" s="2" t="s">
        <v>257</v>
      </c>
      <c r="L32" s="21">
        <v>46277</v>
      </c>
      <c r="M32" s="22">
        <f>IF(OR(S32="N/A",ISBLANK(S32),T32&lt;&gt;"Yes"),IF(OR(R32="Critical",R32="High"),L32+30,IF(R32="Moderate",L32+90,IF(R32="Low",L32+180,""))),IF(OR(S32="Critical",S32="High"),L32+30,IF(S32="Moderate",L32+90,IF(S32="Low",L32+180,""))))</f>
        <v>46307</v>
      </c>
      <c r="N32" s="21">
        <v>46325</v>
      </c>
      <c r="O32" s="2" t="s">
        <v>69</v>
      </c>
      <c r="P32" s="21"/>
      <c r="Q32" s="2"/>
      <c r="R32" s="2" t="s">
        <v>167</v>
      </c>
      <c r="S32" s="2"/>
      <c r="T32" s="2" t="s">
        <v>69</v>
      </c>
      <c r="U32" s="2" t="s">
        <v>69</v>
      </c>
      <c r="V32" s="2" t="s">
        <v>69</v>
      </c>
      <c r="W32" s="2"/>
      <c r="X32" s="2" t="s">
        <v>90</v>
      </c>
      <c r="Y32" s="2" t="s">
        <v>91</v>
      </c>
      <c r="Z32" s="2"/>
      <c r="AA32" s="21"/>
      <c r="AB32" s="2" t="s">
        <v>258</v>
      </c>
    </row>
    <row r="33" ht="12.75" customHeight="1">
      <c r="A33" s="2"/>
      <c r="B33" s="2" t="s">
        <v>259</v>
      </c>
      <c r="C33" s="2" t="s">
        <v>94</v>
      </c>
      <c r="D33" s="2" t="s">
        <v>260</v>
      </c>
      <c r="E33" s="2" t="s">
        <v>261</v>
      </c>
      <c r="F33" s="2" t="s">
        <v>84</v>
      </c>
      <c r="G33" s="2">
        <v>170128</v>
      </c>
      <c r="H33" s="2" t="s">
        <v>262</v>
      </c>
      <c r="I33" s="2" t="s">
        <v>86</v>
      </c>
      <c r="J33" s="2" t="s">
        <v>87</v>
      </c>
      <c r="K33" s="2" t="s">
        <v>263</v>
      </c>
      <c r="L33" s="21">
        <v>46186</v>
      </c>
      <c r="M33" s="22">
        <f>IF(OR(S33="N/A",ISBLANK(S33),T33&lt;&gt;"Yes"),IF(OR(R33="Critical",R33="High"),L33+30,IF(R33="Moderate",L33+90,IF(R33="Low",L33+180,""))),IF(OR(S33="Critical",S33="High"),L33+30,IF(S33="Moderate",L33+90,IF(S33="Low",L33+180,""))))</f>
        <v>46216</v>
      </c>
      <c r="N33" s="21">
        <v>46325</v>
      </c>
      <c r="O33" s="2" t="s">
        <v>69</v>
      </c>
      <c r="P33" s="21"/>
      <c r="Q33" s="2"/>
      <c r="R33" s="2" t="s">
        <v>167</v>
      </c>
      <c r="S33" s="2"/>
      <c r="T33" s="2" t="s">
        <v>69</v>
      </c>
      <c r="U33" s="2" t="s">
        <v>69</v>
      </c>
      <c r="V33" s="2" t="s">
        <v>69</v>
      </c>
      <c r="W33" s="2"/>
      <c r="X33" s="2" t="s">
        <v>90</v>
      </c>
      <c r="Y33" s="2" t="s">
        <v>91</v>
      </c>
      <c r="Z33" s="2"/>
      <c r="AA33" s="21"/>
      <c r="AB33" s="2" t="s">
        <v>264</v>
      </c>
    </row>
    <row r="34" ht="12.75" customHeight="1">
      <c r="A34" s="2"/>
      <c r="B34" s="2" t="s">
        <v>265</v>
      </c>
      <c r="C34" s="2" t="s">
        <v>94</v>
      </c>
      <c r="D34" s="2" t="s">
        <v>266</v>
      </c>
      <c r="E34" s="2" t="s">
        <v>267</v>
      </c>
      <c r="F34" s="2" t="s">
        <v>84</v>
      </c>
      <c r="G34" s="2">
        <v>170129</v>
      </c>
      <c r="H34" s="2" t="s">
        <v>268</v>
      </c>
      <c r="I34" s="2" t="s">
        <v>86</v>
      </c>
      <c r="J34" s="2" t="s">
        <v>87</v>
      </c>
      <c r="K34" s="2" t="s">
        <v>269</v>
      </c>
      <c r="L34" s="21">
        <v>46217</v>
      </c>
      <c r="M34" s="22">
        <f>IF(OR(S34="N/A",ISBLANK(S34),T34&lt;&gt;"Yes"),IF(OR(R34="Critical",R34="High"),L34+30,IF(R34="Moderate",L34+90,IF(R34="Low",L34+180,""))),IF(OR(S34="Critical",S34="High"),L34+30,IF(S34="Moderate",L34+90,IF(S34="Low",L34+180,""))))</f>
        <v>46247</v>
      </c>
      <c r="N34" s="21">
        <v>46325</v>
      </c>
      <c r="O34" s="2" t="s">
        <v>69</v>
      </c>
      <c r="P34" s="21"/>
      <c r="Q34" s="2"/>
      <c r="R34" s="2" t="s">
        <v>167</v>
      </c>
      <c r="S34" s="2"/>
      <c r="T34" s="2" t="s">
        <v>69</v>
      </c>
      <c r="U34" s="2" t="s">
        <v>69</v>
      </c>
      <c r="V34" s="2" t="s">
        <v>69</v>
      </c>
      <c r="W34" s="2"/>
      <c r="X34" s="2" t="s">
        <v>90</v>
      </c>
      <c r="Y34" s="2" t="s">
        <v>91</v>
      </c>
      <c r="Z34" s="2"/>
      <c r="AA34" s="21"/>
      <c r="AB34" s="2" t="s">
        <v>270</v>
      </c>
    </row>
    <row r="35" ht="12.75" customHeight="1">
      <c r="A35" s="2"/>
      <c r="B35" s="2" t="s">
        <v>271</v>
      </c>
      <c r="C35" s="2" t="s">
        <v>81</v>
      </c>
      <c r="D35" s="2" t="s">
        <v>272</v>
      </c>
      <c r="E35" s="2" t="s">
        <v>273</v>
      </c>
      <c r="F35" s="2" t="s">
        <v>84</v>
      </c>
      <c r="G35" s="2">
        <v>170130</v>
      </c>
      <c r="H35" s="2" t="s">
        <v>85</v>
      </c>
      <c r="I35" s="2" t="s">
        <v>86</v>
      </c>
      <c r="J35" s="2" t="s">
        <v>87</v>
      </c>
      <c r="K35" s="2" t="s">
        <v>274</v>
      </c>
      <c r="L35" s="21">
        <v>46249</v>
      </c>
      <c r="M35" s="22">
        <f>IF(OR(S35="N/A",ISBLANK(S35),T35&lt;&gt;"Yes"),IF(OR(R35="Critical",R35="High"),L35+30,IF(R35="Moderate",L35+90,IF(R35="Low",L35+180,""))),IF(OR(S35="Critical",S35="High"),L35+30,IF(S35="Moderate",L35+90,IF(S35="Low",L35+180,""))))</f>
        <v>46339</v>
      </c>
      <c r="N35" s="21">
        <v>46325</v>
      </c>
      <c r="O35" s="2" t="s">
        <v>69</v>
      </c>
      <c r="P35" s="21"/>
      <c r="Q35" s="2"/>
      <c r="R35" s="2" t="s">
        <v>275</v>
      </c>
      <c r="S35" s="2"/>
      <c r="T35" s="2" t="s">
        <v>69</v>
      </c>
      <c r="U35" s="2" t="s">
        <v>69</v>
      </c>
      <c r="V35" s="2" t="s">
        <v>69</v>
      </c>
      <c r="W35" s="2"/>
      <c r="X35" s="2" t="s">
        <v>90</v>
      </c>
      <c r="Y35" s="2" t="s">
        <v>91</v>
      </c>
      <c r="Z35" s="2"/>
      <c r="AA35" s="21"/>
      <c r="AB35" s="2" t="s">
        <v>276</v>
      </c>
    </row>
    <row r="36" ht="12.75" customHeight="1">
      <c r="A36" s="2"/>
      <c r="B36" s="2" t="s">
        <v>277</v>
      </c>
      <c r="C36" s="2" t="s">
        <v>94</v>
      </c>
      <c r="D36" s="2" t="s">
        <v>278</v>
      </c>
      <c r="E36" s="2" t="s">
        <v>279</v>
      </c>
      <c r="F36" s="2" t="s">
        <v>84</v>
      </c>
      <c r="G36" s="2">
        <v>170131</v>
      </c>
      <c r="H36" s="2" t="s">
        <v>97</v>
      </c>
      <c r="I36" s="2" t="s">
        <v>86</v>
      </c>
      <c r="J36" s="2" t="s">
        <v>87</v>
      </c>
      <c r="K36" s="2" t="s">
        <v>280</v>
      </c>
      <c r="L36" s="21">
        <v>46281</v>
      </c>
      <c r="M36" s="22">
        <f>IF(OR(S36="N/A",ISBLANK(S36),T36&lt;&gt;"Yes"),IF(OR(R36="Critical",R36="High"),L36+30,IF(R36="Moderate",L36+90,IF(R36="Low",L36+180,""))),IF(OR(S36="Critical",S36="High"),L36+30,IF(S36="Moderate",L36+90,IF(S36="Low",L36+180,""))))</f>
        <v>46371</v>
      </c>
      <c r="N36" s="21">
        <v>46325</v>
      </c>
      <c r="O36" s="2" t="s">
        <v>69</v>
      </c>
      <c r="P36" s="21"/>
      <c r="Q36" s="2"/>
      <c r="R36" s="2" t="s">
        <v>275</v>
      </c>
      <c r="S36" s="2"/>
      <c r="T36" s="2" t="s">
        <v>69</v>
      </c>
      <c r="U36" s="2" t="s">
        <v>69</v>
      </c>
      <c r="V36" s="2" t="s">
        <v>69</v>
      </c>
      <c r="W36" s="2"/>
      <c r="X36" s="2" t="s">
        <v>90</v>
      </c>
      <c r="Y36" s="2" t="s">
        <v>91</v>
      </c>
      <c r="Z36" s="2"/>
      <c r="AA36" s="21"/>
      <c r="AB36" s="2" t="s">
        <v>281</v>
      </c>
    </row>
    <row r="37" ht="12.75" customHeight="1">
      <c r="A37" s="2"/>
      <c r="B37" s="2" t="s">
        <v>282</v>
      </c>
      <c r="C37" s="2" t="s">
        <v>101</v>
      </c>
      <c r="D37" s="2" t="s">
        <v>283</v>
      </c>
      <c r="E37" s="2" t="s">
        <v>284</v>
      </c>
      <c r="F37" s="2" t="s">
        <v>84</v>
      </c>
      <c r="G37" s="2">
        <v>170132</v>
      </c>
      <c r="H37" s="2" t="s">
        <v>104</v>
      </c>
      <c r="I37" s="2" t="s">
        <v>86</v>
      </c>
      <c r="J37" s="2" t="s">
        <v>87</v>
      </c>
      <c r="K37" s="2" t="s">
        <v>285</v>
      </c>
      <c r="L37" s="21">
        <v>46190</v>
      </c>
      <c r="M37" s="22">
        <f>IF(OR(S37="N/A",ISBLANK(S37),T37&lt;&gt;"Yes"),IF(OR(R37="Critical",R37="High"),L37+30,IF(R37="Moderate",L37+90,IF(R37="Low",L37+180,""))),IF(OR(S37="Critical",S37="High"),L37+30,IF(S37="Moderate",L37+90,IF(S37="Low",L37+180,""))))</f>
        <v>46280</v>
      </c>
      <c r="N37" s="21">
        <v>46325</v>
      </c>
      <c r="O37" s="2" t="s">
        <v>69</v>
      </c>
      <c r="P37" s="21"/>
      <c r="Q37" s="2"/>
      <c r="R37" s="2" t="s">
        <v>275</v>
      </c>
      <c r="S37" s="2"/>
      <c r="T37" s="2" t="s">
        <v>69</v>
      </c>
      <c r="U37" s="2" t="s">
        <v>69</v>
      </c>
      <c r="V37" s="2" t="s">
        <v>69</v>
      </c>
      <c r="W37" s="2"/>
      <c r="X37" s="2" t="s">
        <v>90</v>
      </c>
      <c r="Y37" s="2" t="s">
        <v>91</v>
      </c>
      <c r="Z37" s="2"/>
      <c r="AA37" s="21"/>
      <c r="AB37" s="2" t="s">
        <v>286</v>
      </c>
    </row>
    <row r="38" ht="12.75" customHeight="1">
      <c r="A38" s="2"/>
      <c r="B38" s="2" t="s">
        <v>287</v>
      </c>
      <c r="C38" s="2" t="s">
        <v>94</v>
      </c>
      <c r="D38" s="2" t="s">
        <v>288</v>
      </c>
      <c r="E38" s="2" t="s">
        <v>289</v>
      </c>
      <c r="F38" s="2" t="s">
        <v>84</v>
      </c>
      <c r="G38" s="2">
        <v>170133</v>
      </c>
      <c r="H38" s="2" t="s">
        <v>110</v>
      </c>
      <c r="I38" s="2" t="s">
        <v>86</v>
      </c>
      <c r="J38" s="2" t="s">
        <v>87</v>
      </c>
      <c r="K38" s="2" t="s">
        <v>290</v>
      </c>
      <c r="L38" s="21">
        <v>46221</v>
      </c>
      <c r="M38" s="22">
        <f>IF(OR(S38="N/A",ISBLANK(S38),T38&lt;&gt;"Yes"),IF(OR(R38="Critical",R38="High"),L38+30,IF(R38="Moderate",L38+90,IF(R38="Low",L38+180,""))),IF(OR(S38="Critical",S38="High"),L38+30,IF(S38="Moderate",L38+90,IF(S38="Low",L38+180,""))))</f>
        <v>46311</v>
      </c>
      <c r="N38" s="21">
        <v>46325</v>
      </c>
      <c r="O38" s="2" t="s">
        <v>69</v>
      </c>
      <c r="P38" s="21"/>
      <c r="Q38" s="2"/>
      <c r="R38" s="2" t="s">
        <v>275</v>
      </c>
      <c r="S38" s="2"/>
      <c r="T38" s="2" t="s">
        <v>69</v>
      </c>
      <c r="U38" s="2" t="s">
        <v>69</v>
      </c>
      <c r="V38" s="2" t="s">
        <v>69</v>
      </c>
      <c r="W38" s="2"/>
      <c r="X38" s="2" t="s">
        <v>90</v>
      </c>
      <c r="Y38" s="2" t="s">
        <v>91</v>
      </c>
      <c r="Z38" s="2"/>
      <c r="AA38" s="21"/>
      <c r="AB38" s="2" t="s">
        <v>291</v>
      </c>
    </row>
    <row r="39" ht="12.75" customHeight="1">
      <c r="A39" s="2"/>
      <c r="B39" s="2" t="s">
        <v>292</v>
      </c>
      <c r="C39" s="2" t="s">
        <v>101</v>
      </c>
      <c r="D39" s="2" t="s">
        <v>293</v>
      </c>
      <c r="E39" s="2" t="s">
        <v>294</v>
      </c>
      <c r="F39" s="2" t="s">
        <v>84</v>
      </c>
      <c r="G39" s="2">
        <v>170134</v>
      </c>
      <c r="H39" s="2" t="s">
        <v>116</v>
      </c>
      <c r="I39" s="2" t="s">
        <v>86</v>
      </c>
      <c r="J39" s="2" t="s">
        <v>87</v>
      </c>
      <c r="K39" s="2" t="s">
        <v>295</v>
      </c>
      <c r="L39" s="21">
        <v>46253</v>
      </c>
      <c r="M39" s="22">
        <f>IF(OR(S39="N/A",ISBLANK(S39),T39&lt;&gt;"Yes"),IF(OR(R39="Critical",R39="High"),L39+30,IF(R39="Moderate",L39+90,IF(R39="Low",L39+180,""))),IF(OR(S39="Critical",S39="High"),L39+30,IF(S39="Moderate",L39+90,IF(S39="Low",L39+180,""))))</f>
        <v>46343</v>
      </c>
      <c r="N39" s="21">
        <v>46325</v>
      </c>
      <c r="O39" s="2" t="s">
        <v>69</v>
      </c>
      <c r="P39" s="21"/>
      <c r="Q39" s="2"/>
      <c r="R39" s="2" t="s">
        <v>275</v>
      </c>
      <c r="S39" s="2"/>
      <c r="T39" s="2" t="s">
        <v>69</v>
      </c>
      <c r="U39" s="2" t="s">
        <v>69</v>
      </c>
      <c r="V39" s="2" t="s">
        <v>69</v>
      </c>
      <c r="W39" s="2"/>
      <c r="X39" s="2" t="s">
        <v>90</v>
      </c>
      <c r="Y39" s="2" t="s">
        <v>91</v>
      </c>
      <c r="Z39" s="2"/>
      <c r="AA39" s="21"/>
      <c r="AB39" s="2" t="s">
        <v>296</v>
      </c>
    </row>
    <row r="40" ht="12.75" customHeight="1">
      <c r="A40" s="2"/>
      <c r="B40" s="2" t="s">
        <v>297</v>
      </c>
      <c r="C40" s="2" t="s">
        <v>94</v>
      </c>
      <c r="D40" s="2" t="s">
        <v>298</v>
      </c>
      <c r="E40" s="2" t="s">
        <v>299</v>
      </c>
      <c r="F40" s="2" t="s">
        <v>84</v>
      </c>
      <c r="G40" s="2">
        <v>170135</v>
      </c>
      <c r="H40" s="2" t="s">
        <v>122</v>
      </c>
      <c r="I40" s="2" t="s">
        <v>300</v>
      </c>
      <c r="J40" s="2"/>
      <c r="K40" s="2" t="s">
        <v>301</v>
      </c>
      <c r="L40" s="21">
        <v>46285</v>
      </c>
      <c r="M40" s="22">
        <f>IF(OR(S40="N/A",ISBLANK(S40),T40&lt;&gt;"Yes"),IF(OR(R40="Critical",R40="High"),L40+30,IF(R40="Moderate",L40+90,IF(R40="Low",L40+180,""))),IF(OR(S40="Critical",S40="High"),L40+30,IF(S40="Moderate",L40+90,IF(S40="Low",L40+180,""))))</f>
        <v>46375</v>
      </c>
      <c r="N40" s="21">
        <v>46320</v>
      </c>
      <c r="O40" s="2" t="s">
        <v>69</v>
      </c>
      <c r="P40" s="21"/>
      <c r="Q40" s="2"/>
      <c r="R40" s="2" t="s">
        <v>275</v>
      </c>
      <c r="S40" s="2"/>
      <c r="T40" s="2" t="s">
        <v>69</v>
      </c>
      <c r="U40" s="2" t="s">
        <v>69</v>
      </c>
      <c r="V40" s="2" t="s">
        <v>69</v>
      </c>
      <c r="W40" s="2"/>
      <c r="X40" s="2" t="s">
        <v>302</v>
      </c>
      <c r="Y40" s="2"/>
      <c r="Z40" s="2"/>
      <c r="AA40" s="21"/>
      <c r="AB40" s="2" t="s">
        <v>303</v>
      </c>
    </row>
    <row r="41" ht="12.75" customHeight="1">
      <c r="A41" s="2"/>
      <c r="B41" s="2" t="s">
        <v>304</v>
      </c>
      <c r="C41" s="2" t="s">
        <v>126</v>
      </c>
      <c r="D41" s="2" t="s">
        <v>305</v>
      </c>
      <c r="E41" s="2" t="s">
        <v>306</v>
      </c>
      <c r="F41" s="2" t="s">
        <v>84</v>
      </c>
      <c r="G41" s="2">
        <v>170136</v>
      </c>
      <c r="H41" s="2" t="s">
        <v>129</v>
      </c>
      <c r="I41" s="2" t="s">
        <v>300</v>
      </c>
      <c r="J41" s="2"/>
      <c r="K41" s="2" t="s">
        <v>307</v>
      </c>
      <c r="L41" s="21">
        <v>46194</v>
      </c>
      <c r="M41" s="22">
        <f>IF(OR(S41="N/A",ISBLANK(S41),T41&lt;&gt;"Yes"),IF(OR(R41="Critical",R41="High"),L41+30,IF(R41="Moderate",L41+90,IF(R41="Low",L41+180,""))),IF(OR(S41="Critical",S41="High"),L41+30,IF(S41="Moderate",L41+90,IF(S41="Low",L41+180,""))))</f>
        <v>46284</v>
      </c>
      <c r="N41" s="21">
        <v>46320</v>
      </c>
      <c r="O41" s="2" t="s">
        <v>69</v>
      </c>
      <c r="P41" s="21"/>
      <c r="Q41" s="2"/>
      <c r="R41" s="2" t="s">
        <v>275</v>
      </c>
      <c r="S41" s="2"/>
      <c r="T41" s="2" t="s">
        <v>69</v>
      </c>
      <c r="U41" s="2" t="s">
        <v>69</v>
      </c>
      <c r="V41" s="2" t="s">
        <v>69</v>
      </c>
      <c r="W41" s="2"/>
      <c r="X41" s="2" t="s">
        <v>302</v>
      </c>
      <c r="Y41" s="2"/>
      <c r="Z41" s="2"/>
      <c r="AA41" s="21"/>
      <c r="AB41" s="2" t="s">
        <v>308</v>
      </c>
    </row>
    <row r="42" ht="12.75" customHeight="1">
      <c r="A42" s="2"/>
      <c r="B42" s="2" t="s">
        <v>309</v>
      </c>
      <c r="C42" s="2" t="s">
        <v>94</v>
      </c>
      <c r="D42" s="2" t="s">
        <v>310</v>
      </c>
      <c r="E42" s="2" t="s">
        <v>311</v>
      </c>
      <c r="F42" s="2" t="s">
        <v>84</v>
      </c>
      <c r="G42" s="2">
        <v>170137</v>
      </c>
      <c r="H42" s="2" t="s">
        <v>135</v>
      </c>
      <c r="I42" s="2" t="s">
        <v>300</v>
      </c>
      <c r="J42" s="2"/>
      <c r="K42" s="2" t="s">
        <v>312</v>
      </c>
      <c r="L42" s="21">
        <v>46225</v>
      </c>
      <c r="M42" s="22">
        <f>IF(OR(S42="N/A",ISBLANK(S42),T42&lt;&gt;"Yes"),IF(OR(R42="Critical",R42="High"),L42+30,IF(R42="Moderate",L42+90,IF(R42="Low",L42+180,""))),IF(OR(S42="Critical",S42="High"),L42+30,IF(S42="Moderate",L42+90,IF(S42="Low",L42+180,""))))</f>
        <v>46315</v>
      </c>
      <c r="N42" s="21">
        <v>46320</v>
      </c>
      <c r="O42" s="2" t="s">
        <v>69</v>
      </c>
      <c r="P42" s="21"/>
      <c r="Q42" s="2"/>
      <c r="R42" s="2" t="s">
        <v>275</v>
      </c>
      <c r="S42" s="2"/>
      <c r="T42" s="2" t="s">
        <v>69</v>
      </c>
      <c r="U42" s="2" t="s">
        <v>69</v>
      </c>
      <c r="V42" s="2" t="s">
        <v>69</v>
      </c>
      <c r="W42" s="2"/>
      <c r="X42" s="2" t="s">
        <v>302</v>
      </c>
      <c r="Y42" s="2"/>
      <c r="Z42" s="2"/>
      <c r="AA42" s="21"/>
      <c r="AB42" s="2" t="s">
        <v>313</v>
      </c>
    </row>
    <row r="43" ht="12.75" customHeight="1">
      <c r="A43" s="2"/>
      <c r="B43" s="2" t="s">
        <v>314</v>
      </c>
      <c r="C43" s="2" t="s">
        <v>94</v>
      </c>
      <c r="D43" s="2" t="s">
        <v>315</v>
      </c>
      <c r="E43" s="2" t="s">
        <v>316</v>
      </c>
      <c r="F43" s="2" t="s">
        <v>84</v>
      </c>
      <c r="G43" s="2">
        <v>170138</v>
      </c>
      <c r="H43" s="2" t="s">
        <v>141</v>
      </c>
      <c r="I43" s="2" t="s">
        <v>300</v>
      </c>
      <c r="J43" s="2"/>
      <c r="K43" s="2" t="s">
        <v>317</v>
      </c>
      <c r="L43" s="21">
        <v>46257</v>
      </c>
      <c r="M43" s="22">
        <f>IF(OR(S43="N/A",ISBLANK(S43),T43&lt;&gt;"Yes"),IF(OR(R43="Critical",R43="High"),L43+30,IF(R43="Moderate",L43+90,IF(R43="Low",L43+180,""))),IF(OR(S43="Critical",S43="High"),L43+30,IF(S43="Moderate",L43+90,IF(S43="Low",L43+180,""))))</f>
        <v>46347</v>
      </c>
      <c r="N43" s="21">
        <v>46320</v>
      </c>
      <c r="O43" s="2" t="s">
        <v>69</v>
      </c>
      <c r="P43" s="21"/>
      <c r="Q43" s="2"/>
      <c r="R43" s="2" t="s">
        <v>275</v>
      </c>
      <c r="S43" s="2"/>
      <c r="T43" s="2" t="s">
        <v>69</v>
      </c>
      <c r="U43" s="2" t="s">
        <v>69</v>
      </c>
      <c r="V43" s="2" t="s">
        <v>69</v>
      </c>
      <c r="W43" s="2"/>
      <c r="X43" s="2" t="s">
        <v>302</v>
      </c>
      <c r="Y43" s="2"/>
      <c r="Z43" s="2"/>
      <c r="AA43" s="21"/>
      <c r="AB43" s="2" t="s">
        <v>318</v>
      </c>
    </row>
    <row r="44" ht="12.75" customHeight="1">
      <c r="A44" s="2"/>
      <c r="B44" s="2" t="s">
        <v>319</v>
      </c>
      <c r="C44" s="2" t="s">
        <v>94</v>
      </c>
      <c r="D44" s="2" t="s">
        <v>320</v>
      </c>
      <c r="E44" s="2" t="s">
        <v>321</v>
      </c>
      <c r="F44" s="2" t="s">
        <v>84</v>
      </c>
      <c r="G44" s="2">
        <v>170139</v>
      </c>
      <c r="H44" s="2" t="s">
        <v>147</v>
      </c>
      <c r="I44" s="2" t="s">
        <v>300</v>
      </c>
      <c r="J44" s="2"/>
      <c r="K44" s="2" t="s">
        <v>322</v>
      </c>
      <c r="L44" s="21">
        <v>46289</v>
      </c>
      <c r="M44" s="22">
        <f>IF(OR(S44="N/A",ISBLANK(S44),T44&lt;&gt;"Yes"),IF(OR(R44="Critical",R44="High"),L44+30,IF(R44="Moderate",L44+90,IF(R44="Low",L44+180,""))),IF(OR(S44="Critical",S44="High"),L44+30,IF(S44="Moderate",L44+90,IF(S44="Low",L44+180,""))))</f>
        <v>46379</v>
      </c>
      <c r="N44" s="21">
        <v>46320</v>
      </c>
      <c r="O44" s="2" t="s">
        <v>69</v>
      </c>
      <c r="P44" s="21"/>
      <c r="Q44" s="2"/>
      <c r="R44" s="2" t="s">
        <v>275</v>
      </c>
      <c r="S44" s="2"/>
      <c r="T44" s="2" t="s">
        <v>69</v>
      </c>
      <c r="U44" s="2" t="s">
        <v>69</v>
      </c>
      <c r="V44" s="2" t="s">
        <v>69</v>
      </c>
      <c r="W44" s="2"/>
      <c r="X44" s="2" t="s">
        <v>302</v>
      </c>
      <c r="Y44" s="2"/>
      <c r="Z44" s="2"/>
      <c r="AA44" s="21"/>
      <c r="AB44" s="2" t="s">
        <v>323</v>
      </c>
    </row>
    <row r="45" ht="12.75" customHeight="1">
      <c r="A45" s="2"/>
      <c r="B45" s="2" t="s">
        <v>324</v>
      </c>
      <c r="C45" s="2" t="s">
        <v>81</v>
      </c>
      <c r="D45" s="2" t="s">
        <v>325</v>
      </c>
      <c r="E45" s="2" t="s">
        <v>326</v>
      </c>
      <c r="F45" s="2" t="s">
        <v>84</v>
      </c>
      <c r="G45" s="2">
        <v>170140</v>
      </c>
      <c r="H45" s="2" t="s">
        <v>153</v>
      </c>
      <c r="I45" s="2" t="s">
        <v>300</v>
      </c>
      <c r="J45" s="2"/>
      <c r="K45" s="2" t="s">
        <v>327</v>
      </c>
      <c r="L45" s="21">
        <v>46178</v>
      </c>
      <c r="M45" s="22">
        <f>IF(OR(S45="N/A",ISBLANK(S45),T45&lt;&gt;"Yes"),IF(OR(R45="Critical",R45="High"),L45+30,IF(R45="Moderate",L45+90,IF(R45="Low",L45+180,""))),IF(OR(S45="Critical",S45="High"),L45+30,IF(S45="Moderate",L45+90,IF(S45="Low",L45+180,""))))</f>
        <v>46268</v>
      </c>
      <c r="N45" s="21">
        <v>46320</v>
      </c>
      <c r="O45" s="2" t="s">
        <v>69</v>
      </c>
      <c r="P45" s="21"/>
      <c r="Q45" s="2"/>
      <c r="R45" s="2" t="s">
        <v>275</v>
      </c>
      <c r="S45" s="2"/>
      <c r="T45" s="2" t="s">
        <v>69</v>
      </c>
      <c r="U45" s="2" t="s">
        <v>69</v>
      </c>
      <c r="V45" s="2" t="s">
        <v>69</v>
      </c>
      <c r="W45" s="2"/>
      <c r="X45" s="2" t="s">
        <v>302</v>
      </c>
      <c r="Y45" s="2"/>
      <c r="Z45" s="2"/>
      <c r="AA45" s="21"/>
      <c r="AB45" s="2" t="s">
        <v>328</v>
      </c>
    </row>
    <row r="46" ht="12.75" customHeight="1">
      <c r="A46" s="2"/>
      <c r="B46" s="2" t="s">
        <v>329</v>
      </c>
      <c r="C46" s="2" t="s">
        <v>94</v>
      </c>
      <c r="D46" s="2" t="s">
        <v>330</v>
      </c>
      <c r="E46" s="2" t="s">
        <v>331</v>
      </c>
      <c r="F46" s="2" t="s">
        <v>84</v>
      </c>
      <c r="G46" s="2">
        <v>170141</v>
      </c>
      <c r="H46" s="2" t="s">
        <v>159</v>
      </c>
      <c r="I46" s="2" t="s">
        <v>300</v>
      </c>
      <c r="J46" s="2"/>
      <c r="K46" s="2" t="s">
        <v>332</v>
      </c>
      <c r="L46" s="21">
        <v>46209</v>
      </c>
      <c r="M46" s="22">
        <f>IF(OR(S46="N/A",ISBLANK(S46),T46&lt;&gt;"Yes"),IF(OR(R46="Critical",R46="High"),L46+30,IF(R46="Moderate",L46+90,IF(R46="Low",L46+180,""))),IF(OR(S46="Critical",S46="High"),L46+30,IF(S46="Moderate",L46+90,IF(S46="Low",L46+180,""))))</f>
        <v>46299</v>
      </c>
      <c r="N46" s="21">
        <v>46320</v>
      </c>
      <c r="O46" s="2" t="s">
        <v>69</v>
      </c>
      <c r="P46" s="21"/>
      <c r="Q46" s="2"/>
      <c r="R46" s="2" t="s">
        <v>275</v>
      </c>
      <c r="S46" s="2"/>
      <c r="T46" s="2" t="s">
        <v>69</v>
      </c>
      <c r="U46" s="2" t="s">
        <v>69</v>
      </c>
      <c r="V46" s="2" t="s">
        <v>69</v>
      </c>
      <c r="W46" s="2"/>
      <c r="X46" s="2" t="s">
        <v>302</v>
      </c>
      <c r="Y46" s="2"/>
      <c r="Z46" s="2"/>
      <c r="AA46" s="21"/>
      <c r="AB46" s="2" t="s">
        <v>333</v>
      </c>
    </row>
    <row r="47" ht="12.75" customHeight="1">
      <c r="A47" s="2"/>
      <c r="B47" s="2" t="s">
        <v>334</v>
      </c>
      <c r="C47" s="2" t="s">
        <v>101</v>
      </c>
      <c r="D47" s="2" t="s">
        <v>335</v>
      </c>
      <c r="E47" s="2" t="s">
        <v>336</v>
      </c>
      <c r="F47" s="2" t="s">
        <v>84</v>
      </c>
      <c r="G47" s="2">
        <v>170142</v>
      </c>
      <c r="H47" s="2" t="s">
        <v>165</v>
      </c>
      <c r="I47" s="2" t="s">
        <v>300</v>
      </c>
      <c r="J47" s="2"/>
      <c r="K47" s="2" t="s">
        <v>337</v>
      </c>
      <c r="L47" s="21">
        <v>46241</v>
      </c>
      <c r="M47" s="22">
        <f>IF(OR(S47="N/A",ISBLANK(S47),T47&lt;&gt;"Yes"),IF(OR(R47="Critical",R47="High"),L47+30,IF(R47="Moderate",L47+90,IF(R47="Low",L47+180,""))),IF(OR(S47="Critical",S47="High"),L47+30,IF(S47="Moderate",L47+90,IF(S47="Low",L47+180,""))))</f>
        <v>46331</v>
      </c>
      <c r="N47" s="21">
        <v>46320</v>
      </c>
      <c r="O47" s="2" t="s">
        <v>69</v>
      </c>
      <c r="P47" s="21"/>
      <c r="Q47" s="2"/>
      <c r="R47" s="2" t="s">
        <v>275</v>
      </c>
      <c r="S47" s="2"/>
      <c r="T47" s="2" t="s">
        <v>69</v>
      </c>
      <c r="U47" s="2" t="s">
        <v>69</v>
      </c>
      <c r="V47" s="2" t="s">
        <v>69</v>
      </c>
      <c r="W47" s="2"/>
      <c r="X47" s="2" t="s">
        <v>302</v>
      </c>
      <c r="Y47" s="2"/>
      <c r="Z47" s="2"/>
      <c r="AA47" s="21"/>
      <c r="AB47" s="2" t="s">
        <v>338</v>
      </c>
    </row>
    <row r="48" ht="12.75" customHeight="1">
      <c r="A48" s="2"/>
      <c r="B48" s="2" t="s">
        <v>339</v>
      </c>
      <c r="C48" s="2" t="s">
        <v>94</v>
      </c>
      <c r="D48" s="2" t="s">
        <v>340</v>
      </c>
      <c r="E48" s="2" t="s">
        <v>341</v>
      </c>
      <c r="F48" s="2" t="s">
        <v>84</v>
      </c>
      <c r="G48" s="2">
        <v>170143</v>
      </c>
      <c r="H48" s="2" t="s">
        <v>172</v>
      </c>
      <c r="I48" s="2" t="s">
        <v>300</v>
      </c>
      <c r="J48" s="2"/>
      <c r="K48" s="2" t="s">
        <v>342</v>
      </c>
      <c r="L48" s="21">
        <v>46273</v>
      </c>
      <c r="M48" s="22">
        <f>IF(OR(S48="N/A",ISBLANK(S48),T48&lt;&gt;"Yes"),IF(OR(R48="Critical",R48="High"),L48+30,IF(R48="Moderate",L48+90,IF(R48="Low",L48+180,""))),IF(OR(S48="Critical",S48="High"),L48+30,IF(S48="Moderate",L48+90,IF(S48="Low",L48+180,""))))</f>
        <v>46363</v>
      </c>
      <c r="N48" s="21">
        <v>46320</v>
      </c>
      <c r="O48" s="2" t="s">
        <v>69</v>
      </c>
      <c r="P48" s="21"/>
      <c r="Q48" s="2"/>
      <c r="R48" s="2" t="s">
        <v>275</v>
      </c>
      <c r="S48" s="2"/>
      <c r="T48" s="2" t="s">
        <v>69</v>
      </c>
      <c r="U48" s="2" t="s">
        <v>69</v>
      </c>
      <c r="V48" s="2" t="s">
        <v>69</v>
      </c>
      <c r="W48" s="2"/>
      <c r="X48" s="2" t="s">
        <v>302</v>
      </c>
      <c r="Y48" s="2"/>
      <c r="Z48" s="2"/>
      <c r="AA48" s="21"/>
      <c r="AB48" s="2" t="s">
        <v>343</v>
      </c>
    </row>
    <row r="49" ht="12.75" customHeight="1">
      <c r="A49" s="2"/>
      <c r="B49" s="2" t="s">
        <v>344</v>
      </c>
      <c r="C49" s="2" t="s">
        <v>101</v>
      </c>
      <c r="D49" s="2" t="s">
        <v>345</v>
      </c>
      <c r="E49" s="2" t="s">
        <v>346</v>
      </c>
      <c r="F49" s="2" t="s">
        <v>84</v>
      </c>
      <c r="G49" s="2">
        <v>170144</v>
      </c>
      <c r="H49" s="2" t="s">
        <v>178</v>
      </c>
      <c r="I49" s="2" t="s">
        <v>300</v>
      </c>
      <c r="J49" s="2"/>
      <c r="K49" s="2" t="s">
        <v>347</v>
      </c>
      <c r="L49" s="21">
        <v>46182</v>
      </c>
      <c r="M49" s="22">
        <f>IF(OR(S49="N/A",ISBLANK(S49),T49&lt;&gt;"Yes"),IF(OR(R49="Critical",R49="High"),L49+30,IF(R49="Moderate",L49+90,IF(R49="Low",L49+180,""))),IF(OR(S49="Critical",S49="High"),L49+30,IF(S49="Moderate",L49+90,IF(S49="Low",L49+180,""))))</f>
        <v>46272</v>
      </c>
      <c r="N49" s="21">
        <v>46320</v>
      </c>
      <c r="O49" s="2" t="s">
        <v>69</v>
      </c>
      <c r="P49" s="21"/>
      <c r="Q49" s="2"/>
      <c r="R49" s="2" t="s">
        <v>275</v>
      </c>
      <c r="S49" s="2"/>
      <c r="T49" s="2" t="s">
        <v>69</v>
      </c>
      <c r="U49" s="2" t="s">
        <v>69</v>
      </c>
      <c r="V49" s="2" t="s">
        <v>69</v>
      </c>
      <c r="W49" s="2"/>
      <c r="X49" s="2" t="s">
        <v>302</v>
      </c>
      <c r="Y49" s="2"/>
      <c r="Z49" s="2"/>
      <c r="AA49" s="21"/>
      <c r="AB49" s="2" t="s">
        <v>348</v>
      </c>
    </row>
    <row r="50" ht="12.75" customHeight="1">
      <c r="A50" s="2"/>
      <c r="B50" s="2" t="s">
        <v>349</v>
      </c>
      <c r="C50" s="2" t="s">
        <v>94</v>
      </c>
      <c r="D50" s="2" t="s">
        <v>350</v>
      </c>
      <c r="E50" s="2" t="s">
        <v>351</v>
      </c>
      <c r="F50" s="2" t="s">
        <v>84</v>
      </c>
      <c r="G50" s="2">
        <v>170145</v>
      </c>
      <c r="H50" s="2" t="s">
        <v>184</v>
      </c>
      <c r="I50" s="2" t="s">
        <v>300</v>
      </c>
      <c r="J50" s="2"/>
      <c r="K50" s="2" t="s">
        <v>352</v>
      </c>
      <c r="L50" s="21">
        <v>46213</v>
      </c>
      <c r="M50" s="22">
        <f>IF(OR(S50="N/A",ISBLANK(S50),T50&lt;&gt;"Yes"),IF(OR(R50="Critical",R50="High"),L50+30,IF(R50="Moderate",L50+90,IF(R50="Low",L50+180,""))),IF(OR(S50="Critical",S50="High"),L50+30,IF(S50="Moderate",L50+90,IF(S50="Low",L50+180,""))))</f>
        <v>46303</v>
      </c>
      <c r="N50" s="21">
        <v>46320</v>
      </c>
      <c r="O50" s="2" t="s">
        <v>69</v>
      </c>
      <c r="P50" s="21"/>
      <c r="Q50" s="2"/>
      <c r="R50" s="2" t="s">
        <v>275</v>
      </c>
      <c r="S50" s="2"/>
      <c r="T50" s="2" t="s">
        <v>69</v>
      </c>
      <c r="U50" s="2" t="s">
        <v>69</v>
      </c>
      <c r="V50" s="2" t="s">
        <v>69</v>
      </c>
      <c r="W50" s="2"/>
      <c r="X50" s="2" t="s">
        <v>302</v>
      </c>
      <c r="Y50" s="2"/>
      <c r="Z50" s="2"/>
      <c r="AA50" s="21"/>
      <c r="AB50" s="2" t="s">
        <v>353</v>
      </c>
    </row>
    <row r="51" ht="12.75" customHeight="1">
      <c r="A51" s="2"/>
      <c r="B51" s="2" t="s">
        <v>354</v>
      </c>
      <c r="C51" s="2" t="s">
        <v>126</v>
      </c>
      <c r="D51" s="2" t="s">
        <v>355</v>
      </c>
      <c r="E51" s="2" t="s">
        <v>356</v>
      </c>
      <c r="F51" s="2" t="s">
        <v>84</v>
      </c>
      <c r="G51" s="2">
        <v>170146</v>
      </c>
      <c r="H51" s="2" t="s">
        <v>190</v>
      </c>
      <c r="I51" s="2" t="s">
        <v>300</v>
      </c>
      <c r="J51" s="2"/>
      <c r="K51" s="2" t="s">
        <v>357</v>
      </c>
      <c r="L51" s="21">
        <v>46245</v>
      </c>
      <c r="M51" s="22">
        <f>IF(OR(S51="N/A",ISBLANK(S51),T51&lt;&gt;"Yes"),IF(OR(R51="Critical",R51="High"),L51+30,IF(R51="Moderate",L51+90,IF(R51="Low",L51+180,""))),IF(OR(S51="Critical",S51="High"),L51+30,IF(S51="Moderate",L51+90,IF(S51="Low",L51+180,""))))</f>
        <v>46335</v>
      </c>
      <c r="N51" s="21">
        <v>46320</v>
      </c>
      <c r="O51" s="2" t="s">
        <v>69</v>
      </c>
      <c r="P51" s="21"/>
      <c r="Q51" s="2"/>
      <c r="R51" s="2" t="s">
        <v>275</v>
      </c>
      <c r="S51" s="2"/>
      <c r="T51" s="2" t="s">
        <v>69</v>
      </c>
      <c r="U51" s="2" t="s">
        <v>69</v>
      </c>
      <c r="V51" s="2" t="s">
        <v>69</v>
      </c>
      <c r="W51" s="2"/>
      <c r="X51" s="2" t="s">
        <v>302</v>
      </c>
      <c r="Y51" s="2"/>
      <c r="Z51" s="2"/>
      <c r="AA51" s="21"/>
      <c r="AB51" s="2" t="s">
        <v>358</v>
      </c>
    </row>
    <row r="52" ht="12.75" customHeight="1">
      <c r="A52" s="2"/>
      <c r="B52" s="2" t="s">
        <v>359</v>
      </c>
      <c r="C52" s="2" t="s">
        <v>94</v>
      </c>
      <c r="D52" s="2" t="s">
        <v>360</v>
      </c>
      <c r="E52" s="2" t="s">
        <v>361</v>
      </c>
      <c r="F52" s="2" t="s">
        <v>84</v>
      </c>
      <c r="G52" s="2">
        <v>170147</v>
      </c>
      <c r="H52" s="2" t="s">
        <v>196</v>
      </c>
      <c r="I52" s="2" t="s">
        <v>300</v>
      </c>
      <c r="J52" s="2"/>
      <c r="K52" s="2" t="s">
        <v>362</v>
      </c>
      <c r="L52" s="21">
        <v>46277</v>
      </c>
      <c r="M52" s="22">
        <f>IF(OR(S52="N/A",ISBLANK(S52),T52&lt;&gt;"Yes"),IF(OR(R52="Critical",R52="High"),L52+30,IF(R52="Moderate",L52+90,IF(R52="Low",L52+180,""))),IF(OR(S52="Critical",S52="High"),L52+30,IF(S52="Moderate",L52+90,IF(S52="Low",L52+180,""))))</f>
        <v>46367</v>
      </c>
      <c r="N52" s="21">
        <v>46320</v>
      </c>
      <c r="O52" s="2" t="s">
        <v>69</v>
      </c>
      <c r="P52" s="21"/>
      <c r="Q52" s="2"/>
      <c r="R52" s="2" t="s">
        <v>275</v>
      </c>
      <c r="S52" s="2"/>
      <c r="T52" s="2" t="s">
        <v>69</v>
      </c>
      <c r="U52" s="2" t="s">
        <v>69</v>
      </c>
      <c r="V52" s="2" t="s">
        <v>69</v>
      </c>
      <c r="W52" s="2"/>
      <c r="X52" s="2" t="s">
        <v>302</v>
      </c>
      <c r="Y52" s="2"/>
      <c r="Z52" s="2"/>
      <c r="AA52" s="21"/>
      <c r="AB52" s="2" t="s">
        <v>363</v>
      </c>
    </row>
    <row r="53" ht="12.75" customHeight="1">
      <c r="A53" s="2"/>
      <c r="B53" s="2" t="s">
        <v>364</v>
      </c>
      <c r="C53" s="2" t="s">
        <v>94</v>
      </c>
      <c r="D53" s="2" t="s">
        <v>365</v>
      </c>
      <c r="E53" s="2" t="s">
        <v>366</v>
      </c>
      <c r="F53" s="2" t="s">
        <v>84</v>
      </c>
      <c r="G53" s="2">
        <v>170148</v>
      </c>
      <c r="H53" s="2" t="s">
        <v>202</v>
      </c>
      <c r="I53" s="2" t="s">
        <v>300</v>
      </c>
      <c r="J53" s="2"/>
      <c r="K53" s="2" t="s">
        <v>367</v>
      </c>
      <c r="L53" s="21">
        <v>46186</v>
      </c>
      <c r="M53" s="22">
        <f>IF(OR(S53="N/A",ISBLANK(S53),T53&lt;&gt;"Yes"),IF(OR(R53="Critical",R53="High"),L53+30,IF(R53="Moderate",L53+90,IF(R53="Low",L53+180,""))),IF(OR(S53="Critical",S53="High"),L53+30,IF(S53="Moderate",L53+90,IF(S53="Low",L53+180,""))))</f>
        <v>46276</v>
      </c>
      <c r="N53" s="21">
        <v>46320</v>
      </c>
      <c r="O53" s="2" t="s">
        <v>69</v>
      </c>
      <c r="P53" s="21"/>
      <c r="Q53" s="2"/>
      <c r="R53" s="2" t="s">
        <v>275</v>
      </c>
      <c r="S53" s="2"/>
      <c r="T53" s="2" t="s">
        <v>69</v>
      </c>
      <c r="U53" s="2" t="s">
        <v>69</v>
      </c>
      <c r="V53" s="2" t="s">
        <v>69</v>
      </c>
      <c r="W53" s="2"/>
      <c r="X53" s="2" t="s">
        <v>302</v>
      </c>
      <c r="Y53" s="2"/>
      <c r="Z53" s="2"/>
      <c r="AA53" s="21"/>
      <c r="AB53" s="2" t="s">
        <v>368</v>
      </c>
    </row>
    <row r="54" ht="12.75" customHeight="1">
      <c r="A54" s="2"/>
      <c r="B54" s="2" t="s">
        <v>369</v>
      </c>
      <c r="C54" s="2" t="s">
        <v>94</v>
      </c>
      <c r="D54" s="2" t="s">
        <v>370</v>
      </c>
      <c r="E54" s="2" t="s">
        <v>371</v>
      </c>
      <c r="F54" s="2" t="s">
        <v>84</v>
      </c>
      <c r="G54" s="2">
        <v>170149</v>
      </c>
      <c r="H54" s="2" t="s">
        <v>208</v>
      </c>
      <c r="I54" s="2" t="s">
        <v>300</v>
      </c>
      <c r="J54" s="2"/>
      <c r="K54" s="2" t="s">
        <v>372</v>
      </c>
      <c r="L54" s="21">
        <v>46217</v>
      </c>
      <c r="M54" s="22">
        <f>IF(OR(S54="N/A",ISBLANK(S54),T54&lt;&gt;"Yes"),IF(OR(R54="Critical",R54="High"),L54+30,IF(R54="Moderate",L54+90,IF(R54="Low",L54+180,""))),IF(OR(S54="Critical",S54="High"),L54+30,IF(S54="Moderate",L54+90,IF(S54="Low",L54+180,""))))</f>
        <v>46307</v>
      </c>
      <c r="N54" s="21">
        <v>46320</v>
      </c>
      <c r="O54" s="2" t="s">
        <v>69</v>
      </c>
      <c r="P54" s="21"/>
      <c r="Q54" s="2"/>
      <c r="R54" s="2" t="s">
        <v>275</v>
      </c>
      <c r="S54" s="2"/>
      <c r="T54" s="2" t="s">
        <v>69</v>
      </c>
      <c r="U54" s="2" t="s">
        <v>69</v>
      </c>
      <c r="V54" s="2" t="s">
        <v>69</v>
      </c>
      <c r="W54" s="2"/>
      <c r="X54" s="2" t="s">
        <v>302</v>
      </c>
      <c r="Y54" s="2"/>
      <c r="Z54" s="2"/>
      <c r="AA54" s="21"/>
      <c r="AB54" s="2" t="s">
        <v>373</v>
      </c>
    </row>
    <row r="55" ht="12.75" customHeight="1">
      <c r="A55" s="2"/>
      <c r="B55" s="2" t="s">
        <v>374</v>
      </c>
      <c r="C55" s="2" t="s">
        <v>81</v>
      </c>
      <c r="D55" s="2" t="s">
        <v>375</v>
      </c>
      <c r="E55" s="2" t="s">
        <v>376</v>
      </c>
      <c r="F55" s="2" t="s">
        <v>84</v>
      </c>
      <c r="G55" s="2">
        <v>170150</v>
      </c>
      <c r="H55" s="2" t="s">
        <v>214</v>
      </c>
      <c r="I55" s="2" t="s">
        <v>300</v>
      </c>
      <c r="J55" s="2"/>
      <c r="K55" s="2" t="s">
        <v>377</v>
      </c>
      <c r="L55" s="21">
        <v>46249</v>
      </c>
      <c r="M55" s="22">
        <f>IF(OR(S55="N/A",ISBLANK(S55),T55&lt;&gt;"Yes"),IF(OR(R55="Critical",R55="High"),L55+30,IF(R55="Moderate",L55+90,IF(R55="Low",L55+180,""))),IF(OR(S55="Critical",S55="High"),L55+30,IF(S55="Moderate",L55+90,IF(S55="Low",L55+180,""))))</f>
        <v>46429</v>
      </c>
      <c r="N55" s="21">
        <v>46320</v>
      </c>
      <c r="O55" s="2" t="s">
        <v>69</v>
      </c>
      <c r="P55" s="21"/>
      <c r="Q55" s="2"/>
      <c r="R55" s="2" t="s">
        <v>378</v>
      </c>
      <c r="S55" s="2"/>
      <c r="T55" s="2" t="s">
        <v>69</v>
      </c>
      <c r="U55" s="2" t="s">
        <v>69</v>
      </c>
      <c r="V55" s="2" t="s">
        <v>69</v>
      </c>
      <c r="W55" s="2"/>
      <c r="X55" s="2" t="s">
        <v>302</v>
      </c>
      <c r="Y55" s="2"/>
      <c r="Z55" s="2"/>
      <c r="AA55" s="21"/>
      <c r="AB55" s="2" t="s">
        <v>379</v>
      </c>
    </row>
    <row r="56" ht="12.75" customHeight="1">
      <c r="A56" s="2"/>
      <c r="B56" s="2" t="s">
        <v>380</v>
      </c>
      <c r="C56" s="2" t="s">
        <v>94</v>
      </c>
      <c r="D56" s="2" t="s">
        <v>381</v>
      </c>
      <c r="E56" s="2" t="s">
        <v>382</v>
      </c>
      <c r="F56" s="2" t="s">
        <v>84</v>
      </c>
      <c r="G56" s="2">
        <v>170151</v>
      </c>
      <c r="H56" s="2" t="s">
        <v>220</v>
      </c>
      <c r="I56" s="2" t="s">
        <v>300</v>
      </c>
      <c r="J56" s="2"/>
      <c r="K56" s="2" t="s">
        <v>383</v>
      </c>
      <c r="L56" s="21">
        <v>46281</v>
      </c>
      <c r="M56" s="22">
        <f>IF(OR(S56="N/A",ISBLANK(S56),T56&lt;&gt;"Yes"),IF(OR(R56="Critical",R56="High"),L56+30,IF(R56="Moderate",L56+90,IF(R56="Low",L56+180,""))),IF(OR(S56="Critical",S56="High"),L56+30,IF(S56="Moderate",L56+90,IF(S56="Low",L56+180,""))))</f>
        <v>46461</v>
      </c>
      <c r="N56" s="21">
        <v>46320</v>
      </c>
      <c r="O56" s="2" t="s">
        <v>69</v>
      </c>
      <c r="P56" s="21"/>
      <c r="Q56" s="2"/>
      <c r="R56" s="2" t="s">
        <v>378</v>
      </c>
      <c r="S56" s="2"/>
      <c r="T56" s="2" t="s">
        <v>69</v>
      </c>
      <c r="U56" s="2" t="s">
        <v>69</v>
      </c>
      <c r="V56" s="2" t="s">
        <v>69</v>
      </c>
      <c r="W56" s="2"/>
      <c r="X56" s="2" t="s">
        <v>302</v>
      </c>
      <c r="Y56" s="2"/>
      <c r="Z56" s="2"/>
      <c r="AA56" s="21"/>
      <c r="AB56" s="2" t="s">
        <v>384</v>
      </c>
    </row>
    <row r="57" ht="12.75" customHeight="1">
      <c r="A57" s="2"/>
      <c r="B57" s="2" t="s">
        <v>385</v>
      </c>
      <c r="C57" s="2" t="s">
        <v>101</v>
      </c>
      <c r="D57" s="2" t="s">
        <v>386</v>
      </c>
      <c r="E57" s="2" t="s">
        <v>387</v>
      </c>
      <c r="F57" s="2" t="s">
        <v>84</v>
      </c>
      <c r="G57" s="2">
        <v>170152</v>
      </c>
      <c r="H57" s="2" t="s">
        <v>226</v>
      </c>
      <c r="I57" s="2" t="s">
        <v>300</v>
      </c>
      <c r="J57" s="2"/>
      <c r="K57" s="2" t="s">
        <v>388</v>
      </c>
      <c r="L57" s="21">
        <v>46190</v>
      </c>
      <c r="M57" s="22">
        <f>IF(OR(S57="N/A",ISBLANK(S57),T57&lt;&gt;"Yes"),IF(OR(R57="Critical",R57="High"),L57+30,IF(R57="Moderate",L57+90,IF(R57="Low",L57+180,""))),IF(OR(S57="Critical",S57="High"),L57+30,IF(S57="Moderate",L57+90,IF(S57="Low",L57+180,""))))</f>
        <v>46370</v>
      </c>
      <c r="N57" s="21">
        <v>46320</v>
      </c>
      <c r="O57" s="2" t="s">
        <v>69</v>
      </c>
      <c r="P57" s="21"/>
      <c r="Q57" s="2"/>
      <c r="R57" s="2" t="s">
        <v>378</v>
      </c>
      <c r="S57" s="2"/>
      <c r="T57" s="2" t="s">
        <v>69</v>
      </c>
      <c r="U57" s="2" t="s">
        <v>69</v>
      </c>
      <c r="V57" s="2" t="s">
        <v>69</v>
      </c>
      <c r="W57" s="2"/>
      <c r="X57" s="2" t="s">
        <v>302</v>
      </c>
      <c r="Y57" s="2"/>
      <c r="Z57" s="2"/>
      <c r="AA57" s="21"/>
      <c r="AB57" s="2" t="s">
        <v>389</v>
      </c>
    </row>
    <row r="58" ht="12.75" customHeight="1">
      <c r="A58" s="2"/>
      <c r="B58" s="2" t="s">
        <v>390</v>
      </c>
      <c r="C58" s="2" t="s">
        <v>94</v>
      </c>
      <c r="D58" s="2" t="s">
        <v>391</v>
      </c>
      <c r="E58" s="2" t="s">
        <v>392</v>
      </c>
      <c r="F58" s="2" t="s">
        <v>84</v>
      </c>
      <c r="G58" s="2">
        <v>170153</v>
      </c>
      <c r="H58" s="2" t="s">
        <v>232</v>
      </c>
      <c r="I58" s="2" t="s">
        <v>300</v>
      </c>
      <c r="J58" s="2"/>
      <c r="K58" s="2" t="s">
        <v>393</v>
      </c>
      <c r="L58" s="21">
        <v>46221</v>
      </c>
      <c r="M58" s="22">
        <f>IF(OR(S58="N/A",ISBLANK(S58),T58&lt;&gt;"Yes"),IF(OR(R58="Critical",R58="High"),L58+30,IF(R58="Moderate",L58+90,IF(R58="Low",L58+180,""))),IF(OR(S58="Critical",S58="High"),L58+30,IF(S58="Moderate",L58+90,IF(S58="Low",L58+180,""))))</f>
        <v>46401</v>
      </c>
      <c r="N58" s="21">
        <v>46320</v>
      </c>
      <c r="O58" s="2" t="s">
        <v>69</v>
      </c>
      <c r="P58" s="21"/>
      <c r="Q58" s="2"/>
      <c r="R58" s="2" t="s">
        <v>378</v>
      </c>
      <c r="S58" s="2"/>
      <c r="T58" s="2" t="s">
        <v>69</v>
      </c>
      <c r="U58" s="2" t="s">
        <v>69</v>
      </c>
      <c r="V58" s="2" t="s">
        <v>69</v>
      </c>
      <c r="W58" s="2"/>
      <c r="X58" s="2" t="s">
        <v>302</v>
      </c>
      <c r="Y58" s="2"/>
      <c r="Z58" s="2"/>
      <c r="AA58" s="21"/>
      <c r="AB58" s="2" t="s">
        <v>394</v>
      </c>
    </row>
    <row r="59" ht="12.75" customHeight="1">
      <c r="A59" s="2"/>
      <c r="B59" s="2" t="s">
        <v>395</v>
      </c>
      <c r="C59" s="2" t="s">
        <v>101</v>
      </c>
      <c r="D59" s="2" t="s">
        <v>396</v>
      </c>
      <c r="E59" s="2" t="s">
        <v>397</v>
      </c>
      <c r="F59" s="2" t="s">
        <v>84</v>
      </c>
      <c r="G59" s="2">
        <v>170154</v>
      </c>
      <c r="H59" s="2" t="s">
        <v>238</v>
      </c>
      <c r="I59" s="2" t="s">
        <v>300</v>
      </c>
      <c r="J59" s="2"/>
      <c r="K59" s="2" t="s">
        <v>398</v>
      </c>
      <c r="L59" s="21">
        <v>46253</v>
      </c>
      <c r="M59" s="22">
        <f>IF(OR(S59="N/A",ISBLANK(S59),T59&lt;&gt;"Yes"),IF(OR(R59="Critical",R59="High"),L59+30,IF(R59="Moderate",L59+90,IF(R59="Low",L59+180,""))),IF(OR(S59="Critical",S59="High"),L59+30,IF(S59="Moderate",L59+90,IF(S59="Low",L59+180,""))))</f>
        <v>46433</v>
      </c>
      <c r="N59" s="21">
        <v>46320</v>
      </c>
      <c r="O59" s="2" t="s">
        <v>69</v>
      </c>
      <c r="P59" s="21"/>
      <c r="Q59" s="2"/>
      <c r="R59" s="2" t="s">
        <v>378</v>
      </c>
      <c r="S59" s="2"/>
      <c r="T59" s="2" t="s">
        <v>69</v>
      </c>
      <c r="U59" s="2" t="s">
        <v>69</v>
      </c>
      <c r="V59" s="2" t="s">
        <v>69</v>
      </c>
      <c r="W59" s="2"/>
      <c r="X59" s="2" t="s">
        <v>302</v>
      </c>
      <c r="Y59" s="2"/>
      <c r="Z59" s="2"/>
      <c r="AA59" s="21"/>
      <c r="AB59" s="2" t="s">
        <v>399</v>
      </c>
    </row>
    <row r="60" ht="12.75" customHeight="1">
      <c r="A60" s="2"/>
      <c r="B60" s="2" t="s">
        <v>400</v>
      </c>
      <c r="C60" s="2" t="s">
        <v>94</v>
      </c>
      <c r="D60" s="2" t="s">
        <v>401</v>
      </c>
      <c r="E60" s="2" t="s">
        <v>402</v>
      </c>
      <c r="F60" s="2" t="s">
        <v>84</v>
      </c>
      <c r="G60" s="2">
        <v>170155</v>
      </c>
      <c r="H60" s="2" t="s">
        <v>244</v>
      </c>
      <c r="I60" s="2" t="s">
        <v>300</v>
      </c>
      <c r="J60" s="2"/>
      <c r="K60" s="2" t="s">
        <v>403</v>
      </c>
      <c r="L60" s="21">
        <v>46285</v>
      </c>
      <c r="M60" s="22">
        <f>IF(OR(S60="N/A",ISBLANK(S60),T60&lt;&gt;"Yes"),IF(OR(R60="Critical",R60="High"),L60+30,IF(R60="Moderate",L60+90,IF(R60="Low",L60+180,""))),IF(OR(S60="Critical",S60="High"),L60+30,IF(S60="Moderate",L60+90,IF(S60="Low",L60+180,""))))</f>
        <v>46465</v>
      </c>
      <c r="N60" s="21">
        <v>46320</v>
      </c>
      <c r="O60" s="2" t="s">
        <v>69</v>
      </c>
      <c r="P60" s="21"/>
      <c r="Q60" s="2"/>
      <c r="R60" s="2" t="s">
        <v>378</v>
      </c>
      <c r="S60" s="2"/>
      <c r="T60" s="2" t="s">
        <v>69</v>
      </c>
      <c r="U60" s="2" t="s">
        <v>69</v>
      </c>
      <c r="V60" s="2" t="s">
        <v>69</v>
      </c>
      <c r="W60" s="2"/>
      <c r="X60" s="2" t="s">
        <v>302</v>
      </c>
      <c r="Y60" s="2"/>
      <c r="Z60" s="2"/>
      <c r="AA60" s="21"/>
      <c r="AB60" s="2" t="s">
        <v>404</v>
      </c>
    </row>
    <row r="61" ht="12.75" customHeight="1">
      <c r="A61" s="2"/>
      <c r="B61" s="2" t="s">
        <v>405</v>
      </c>
      <c r="C61" s="2" t="s">
        <v>126</v>
      </c>
      <c r="D61" s="2" t="s">
        <v>406</v>
      </c>
      <c r="E61" s="2" t="s">
        <v>407</v>
      </c>
      <c r="F61" s="2" t="s">
        <v>84</v>
      </c>
      <c r="G61" s="2">
        <v>170156</v>
      </c>
      <c r="H61" s="2" t="s">
        <v>250</v>
      </c>
      <c r="I61" s="2" t="s">
        <v>300</v>
      </c>
      <c r="J61" s="2"/>
      <c r="K61" s="2" t="s">
        <v>408</v>
      </c>
      <c r="L61" s="21">
        <v>46194</v>
      </c>
      <c r="M61" s="22">
        <f>IF(OR(S61="N/A",ISBLANK(S61),T61&lt;&gt;"Yes"),IF(OR(R61="Critical",R61="High"),L61+30,IF(R61="Moderate",L61+90,IF(R61="Low",L61+180,""))),IF(OR(S61="Critical",S61="High"),L61+30,IF(S61="Moderate",L61+90,IF(S61="Low",L61+180,""))))</f>
        <v>46374</v>
      </c>
      <c r="N61" s="21">
        <v>46320</v>
      </c>
      <c r="O61" s="2" t="s">
        <v>69</v>
      </c>
      <c r="P61" s="21"/>
      <c r="Q61" s="2"/>
      <c r="R61" s="2" t="s">
        <v>378</v>
      </c>
      <c r="S61" s="2"/>
      <c r="T61" s="2" t="s">
        <v>69</v>
      </c>
      <c r="U61" s="2" t="s">
        <v>69</v>
      </c>
      <c r="V61" s="2" t="s">
        <v>69</v>
      </c>
      <c r="W61" s="2"/>
      <c r="X61" s="2" t="s">
        <v>302</v>
      </c>
      <c r="Y61" s="2"/>
      <c r="Z61" s="2"/>
      <c r="AA61" s="21"/>
      <c r="AB61" s="2" t="s">
        <v>409</v>
      </c>
    </row>
    <row r="62" ht="12.75" customHeight="1">
      <c r="A62" s="2"/>
      <c r="B62" s="2" t="s">
        <v>410</v>
      </c>
      <c r="C62" s="2" t="s">
        <v>94</v>
      </c>
      <c r="D62" s="2" t="s">
        <v>411</v>
      </c>
      <c r="E62" s="2" t="s">
        <v>412</v>
      </c>
      <c r="F62" s="2" t="s">
        <v>84</v>
      </c>
      <c r="G62" s="2">
        <v>170157</v>
      </c>
      <c r="H62" s="2" t="s">
        <v>256</v>
      </c>
      <c r="I62" s="2" t="s">
        <v>300</v>
      </c>
      <c r="J62" s="2"/>
      <c r="K62" s="2" t="s">
        <v>413</v>
      </c>
      <c r="L62" s="21">
        <v>46225</v>
      </c>
      <c r="M62" s="22">
        <f>IF(OR(S62="N/A",ISBLANK(S62),T62&lt;&gt;"Yes"),IF(OR(R62="Critical",R62="High"),L62+30,IF(R62="Moderate",L62+90,IF(R62="Low",L62+180,""))),IF(OR(S62="Critical",S62="High"),L62+30,IF(S62="Moderate",L62+90,IF(S62="Low",L62+180,""))))</f>
        <v>46405</v>
      </c>
      <c r="N62" s="21">
        <v>46320</v>
      </c>
      <c r="O62" s="2" t="s">
        <v>69</v>
      </c>
      <c r="P62" s="21"/>
      <c r="Q62" s="2"/>
      <c r="R62" s="2" t="s">
        <v>378</v>
      </c>
      <c r="S62" s="2"/>
      <c r="T62" s="2" t="s">
        <v>69</v>
      </c>
      <c r="U62" s="2" t="s">
        <v>69</v>
      </c>
      <c r="V62" s="2" t="s">
        <v>69</v>
      </c>
      <c r="W62" s="2"/>
      <c r="X62" s="2" t="s">
        <v>302</v>
      </c>
      <c r="Y62" s="2"/>
      <c r="Z62" s="2"/>
      <c r="AA62" s="21"/>
      <c r="AB62" s="2" t="s">
        <v>414</v>
      </c>
    </row>
    <row r="63" ht="12.75" customHeight="1">
      <c r="A63" s="2"/>
      <c r="B63" s="2" t="s">
        <v>415</v>
      </c>
      <c r="C63" s="2" t="s">
        <v>94</v>
      </c>
      <c r="D63" s="2" t="s">
        <v>416</v>
      </c>
      <c r="E63" s="2" t="s">
        <v>417</v>
      </c>
      <c r="F63" s="2" t="s">
        <v>84</v>
      </c>
      <c r="G63" s="2">
        <v>170158</v>
      </c>
      <c r="H63" s="2" t="s">
        <v>262</v>
      </c>
      <c r="I63" s="2" t="s">
        <v>300</v>
      </c>
      <c r="J63" s="2"/>
      <c r="K63" s="2" t="s">
        <v>418</v>
      </c>
      <c r="L63" s="21">
        <v>46257</v>
      </c>
      <c r="M63" s="22">
        <f>IF(OR(S63="N/A",ISBLANK(S63),T63&lt;&gt;"Yes"),IF(OR(R63="Critical",R63="High"),L63+30,IF(R63="Moderate",L63+90,IF(R63="Low",L63+180,""))),IF(OR(S63="Critical",S63="High"),L63+30,IF(S63="Moderate",L63+90,IF(S63="Low",L63+180,""))))</f>
        <v>46437</v>
      </c>
      <c r="N63" s="21">
        <v>46320</v>
      </c>
      <c r="O63" s="2" t="s">
        <v>69</v>
      </c>
      <c r="P63" s="21"/>
      <c r="Q63" s="2"/>
      <c r="R63" s="2" t="s">
        <v>378</v>
      </c>
      <c r="S63" s="2"/>
      <c r="T63" s="2" t="s">
        <v>69</v>
      </c>
      <c r="U63" s="2" t="s">
        <v>69</v>
      </c>
      <c r="V63" s="2" t="s">
        <v>69</v>
      </c>
      <c r="W63" s="2"/>
      <c r="X63" s="2" t="s">
        <v>302</v>
      </c>
      <c r="Y63" s="2"/>
      <c r="Z63" s="2"/>
      <c r="AA63" s="21"/>
      <c r="AB63" s="2" t="s">
        <v>419</v>
      </c>
    </row>
    <row r="64" ht="12.75" customHeight="1">
      <c r="A64" s="2"/>
      <c r="B64" s="2" t="s">
        <v>420</v>
      </c>
      <c r="C64" s="2" t="s">
        <v>94</v>
      </c>
      <c r="D64" s="2" t="s">
        <v>421</v>
      </c>
      <c r="E64" s="2" t="s">
        <v>422</v>
      </c>
      <c r="F64" s="2" t="s">
        <v>84</v>
      </c>
      <c r="G64" s="2">
        <v>170159</v>
      </c>
      <c r="H64" s="2" t="s">
        <v>268</v>
      </c>
      <c r="I64" s="2" t="s">
        <v>300</v>
      </c>
      <c r="J64" s="2"/>
      <c r="K64" s="2" t="s">
        <v>423</v>
      </c>
      <c r="L64" s="21">
        <v>46289</v>
      </c>
      <c r="M64" s="22">
        <f>IF(OR(S64="N/A",ISBLANK(S64),T64&lt;&gt;"Yes"),IF(OR(R64="Critical",R64="High"),L64+30,IF(R64="Moderate",L64+90,IF(R64="Low",L64+180,""))),IF(OR(S64="Critical",S64="High"),L64+30,IF(S64="Moderate",L64+90,IF(S64="Low",L64+180,""))))</f>
        <v>46469</v>
      </c>
      <c r="N64" s="21">
        <v>46320</v>
      </c>
      <c r="O64" s="2" t="s">
        <v>69</v>
      </c>
      <c r="P64" s="21"/>
      <c r="Q64" s="2"/>
      <c r="R64" s="2" t="s">
        <v>378</v>
      </c>
      <c r="S64" s="2"/>
      <c r="T64" s="2" t="s">
        <v>69</v>
      </c>
      <c r="U64" s="2" t="s">
        <v>69</v>
      </c>
      <c r="V64" s="2" t="s">
        <v>69</v>
      </c>
      <c r="W64" s="2"/>
      <c r="X64" s="2" t="s">
        <v>302</v>
      </c>
      <c r="Y64" s="2"/>
      <c r="Z64" s="2"/>
      <c r="AA64" s="21"/>
      <c r="AB64" s="2" t="s">
        <v>424</v>
      </c>
    </row>
    <row r="65" ht="12.75" customHeight="1">
      <c r="A65" s="2"/>
      <c r="B65" s="2" t="s">
        <v>425</v>
      </c>
      <c r="C65" s="2" t="s">
        <v>81</v>
      </c>
      <c r="D65" s="2" t="s">
        <v>426</v>
      </c>
      <c r="E65" s="2" t="s">
        <v>427</v>
      </c>
      <c r="F65" s="2" t="s">
        <v>84</v>
      </c>
      <c r="G65" s="2">
        <v>170160</v>
      </c>
      <c r="H65" s="2" t="s">
        <v>85</v>
      </c>
      <c r="I65" s="2" t="s">
        <v>300</v>
      </c>
      <c r="J65" s="2"/>
      <c r="K65" s="2" t="s">
        <v>428</v>
      </c>
      <c r="L65" s="21">
        <v>46178</v>
      </c>
      <c r="M65" s="22">
        <f>IF(OR(S65="N/A",ISBLANK(S65),T65&lt;&gt;"Yes"),IF(OR(R65="Critical",R65="High"),L65+30,IF(R65="Moderate",L65+90,IF(R65="Low",L65+180,""))),IF(OR(S65="Critical",S65="High"),L65+30,IF(S65="Moderate",L65+90,IF(S65="Low",L65+180,""))))</f>
        <v>46358</v>
      </c>
      <c r="N65" s="21">
        <v>46320</v>
      </c>
      <c r="O65" s="2" t="s">
        <v>69</v>
      </c>
      <c r="P65" s="21"/>
      <c r="Q65" s="2"/>
      <c r="R65" s="2" t="s">
        <v>378</v>
      </c>
      <c r="S65" s="2"/>
      <c r="T65" s="2" t="s">
        <v>69</v>
      </c>
      <c r="U65" s="2" t="s">
        <v>69</v>
      </c>
      <c r="V65" s="2" t="s">
        <v>69</v>
      </c>
      <c r="W65" s="2"/>
      <c r="X65" s="2" t="s">
        <v>302</v>
      </c>
      <c r="Y65" s="2"/>
      <c r="Z65" s="2"/>
      <c r="AA65" s="21"/>
      <c r="AB65" s="2" t="s">
        <v>429</v>
      </c>
    </row>
    <row r="66" ht="12.75" customHeight="1">
      <c r="A66" s="2"/>
      <c r="B66" s="2" t="s">
        <v>430</v>
      </c>
      <c r="C66" s="2" t="s">
        <v>94</v>
      </c>
      <c r="D66" s="2" t="s">
        <v>431</v>
      </c>
      <c r="E66" s="2" t="s">
        <v>432</v>
      </c>
      <c r="F66" s="2" t="s">
        <v>84</v>
      </c>
      <c r="G66" s="2">
        <v>170161</v>
      </c>
      <c r="H66" s="2" t="s">
        <v>97</v>
      </c>
      <c r="I66" s="2" t="s">
        <v>300</v>
      </c>
      <c r="J66" s="2"/>
      <c r="K66" s="2" t="s">
        <v>433</v>
      </c>
      <c r="L66" s="21">
        <v>46209</v>
      </c>
      <c r="M66" s="22">
        <f>IF(OR(S66="N/A",ISBLANK(S66),T66&lt;&gt;"Yes"),IF(OR(R66="Critical",R66="High"),L66+30,IF(R66="Moderate",L66+90,IF(R66="Low",L66+180,""))),IF(OR(S66="Critical",S66="High"),L66+30,IF(S66="Moderate",L66+90,IF(S66="Low",L66+180,""))))</f>
        <v>46389</v>
      </c>
      <c r="N66" s="21">
        <v>46320</v>
      </c>
      <c r="O66" s="2" t="s">
        <v>69</v>
      </c>
      <c r="P66" s="21"/>
      <c r="Q66" s="2"/>
      <c r="R66" s="2" t="s">
        <v>378</v>
      </c>
      <c r="S66" s="2"/>
      <c r="T66" s="2" t="s">
        <v>69</v>
      </c>
      <c r="U66" s="2" t="s">
        <v>69</v>
      </c>
      <c r="V66" s="2" t="s">
        <v>69</v>
      </c>
      <c r="W66" s="2"/>
      <c r="X66" s="2" t="s">
        <v>302</v>
      </c>
      <c r="Y66" s="2"/>
      <c r="Z66" s="2"/>
      <c r="AA66" s="21"/>
      <c r="AB66" s="2" t="s">
        <v>434</v>
      </c>
    </row>
    <row r="67" ht="12.75" customHeight="1">
      <c r="A67" s="2"/>
      <c r="B67" s="2" t="s">
        <v>435</v>
      </c>
      <c r="C67" s="2" t="s">
        <v>101</v>
      </c>
      <c r="D67" s="2" t="s">
        <v>436</v>
      </c>
      <c r="E67" s="2" t="s">
        <v>437</v>
      </c>
      <c r="F67" s="2" t="s">
        <v>84</v>
      </c>
      <c r="G67" s="2">
        <v>170162</v>
      </c>
      <c r="H67" s="2" t="s">
        <v>104</v>
      </c>
      <c r="I67" s="2" t="s">
        <v>300</v>
      </c>
      <c r="J67" s="2"/>
      <c r="K67" s="2" t="s">
        <v>438</v>
      </c>
      <c r="L67" s="21">
        <v>46241</v>
      </c>
      <c r="M67" s="22">
        <f>IF(OR(S67="N/A",ISBLANK(S67),T67&lt;&gt;"Yes"),IF(OR(R67="Critical",R67="High"),L67+30,IF(R67="Moderate",L67+90,IF(R67="Low",L67+180,""))),IF(OR(S67="Critical",S67="High"),L67+30,IF(S67="Moderate",L67+90,IF(S67="Low",L67+180,""))))</f>
        <v>46421</v>
      </c>
      <c r="N67" s="21">
        <v>46320</v>
      </c>
      <c r="O67" s="2" t="s">
        <v>69</v>
      </c>
      <c r="P67" s="21"/>
      <c r="Q67" s="2"/>
      <c r="R67" s="2" t="s">
        <v>378</v>
      </c>
      <c r="S67" s="2"/>
      <c r="T67" s="2" t="s">
        <v>69</v>
      </c>
      <c r="U67" s="2" t="s">
        <v>69</v>
      </c>
      <c r="V67" s="2" t="s">
        <v>69</v>
      </c>
      <c r="W67" s="2"/>
      <c r="X67" s="2" t="s">
        <v>302</v>
      </c>
      <c r="Y67" s="2"/>
      <c r="Z67" s="2"/>
      <c r="AA67" s="21"/>
      <c r="AB67" s="2" t="s">
        <v>439</v>
      </c>
    </row>
    <row r="68" ht="12.75" customHeight="1">
      <c r="A68" s="2"/>
      <c r="B68" s="2" t="s">
        <v>440</v>
      </c>
      <c r="C68" s="2" t="s">
        <v>94</v>
      </c>
      <c r="D68" s="2" t="s">
        <v>441</v>
      </c>
      <c r="E68" s="2" t="s">
        <v>442</v>
      </c>
      <c r="F68" s="2" t="s">
        <v>84</v>
      </c>
      <c r="G68" s="2">
        <v>170163</v>
      </c>
      <c r="H68" s="2" t="s">
        <v>110</v>
      </c>
      <c r="I68" s="2" t="s">
        <v>300</v>
      </c>
      <c r="J68" s="2"/>
      <c r="K68" s="2" t="s">
        <v>443</v>
      </c>
      <c r="L68" s="21">
        <v>46273</v>
      </c>
      <c r="M68" s="22">
        <f>IF(OR(S68="N/A",ISBLANK(S68),T68&lt;&gt;"Yes"),IF(OR(R68="Critical",R68="High"),L68+30,IF(R68="Moderate",L68+90,IF(R68="Low",L68+180,""))),IF(OR(S68="Critical",S68="High"),L68+30,IF(S68="Moderate",L68+90,IF(S68="Low",L68+180,""))))</f>
        <v>46453</v>
      </c>
      <c r="N68" s="21">
        <v>46320</v>
      </c>
      <c r="O68" s="2" t="s">
        <v>69</v>
      </c>
      <c r="P68" s="21"/>
      <c r="Q68" s="2"/>
      <c r="R68" s="2" t="s">
        <v>378</v>
      </c>
      <c r="S68" s="2"/>
      <c r="T68" s="2" t="s">
        <v>69</v>
      </c>
      <c r="U68" s="2" t="s">
        <v>69</v>
      </c>
      <c r="V68" s="2" t="s">
        <v>69</v>
      </c>
      <c r="W68" s="2"/>
      <c r="X68" s="2" t="s">
        <v>302</v>
      </c>
      <c r="Y68" s="2"/>
      <c r="Z68" s="2"/>
      <c r="AA68" s="21"/>
      <c r="AB68" s="2" t="s">
        <v>444</v>
      </c>
    </row>
    <row r="69" ht="12.75" customHeight="1">
      <c r="A69" s="2"/>
      <c r="B69" s="2" t="s">
        <v>445</v>
      </c>
      <c r="C69" s="2" t="s">
        <v>101</v>
      </c>
      <c r="D69" s="2" t="s">
        <v>446</v>
      </c>
      <c r="E69" s="2" t="s">
        <v>447</v>
      </c>
      <c r="F69" s="2" t="s">
        <v>84</v>
      </c>
      <c r="G69" s="2">
        <v>170164</v>
      </c>
      <c r="H69" s="2" t="s">
        <v>116</v>
      </c>
      <c r="I69" s="2" t="s">
        <v>300</v>
      </c>
      <c r="J69" s="2"/>
      <c r="K69" s="2" t="s">
        <v>448</v>
      </c>
      <c r="L69" s="21">
        <v>46182</v>
      </c>
      <c r="M69" s="22">
        <f>IF(OR(S69="N/A",ISBLANK(S69),T69&lt;&gt;"Yes"),IF(OR(R69="Critical",R69="High"),L69+30,IF(R69="Moderate",L69+90,IF(R69="Low",L69+180,""))),IF(OR(S69="Critical",S69="High"),L69+30,IF(S69="Moderate",L69+90,IF(S69="Low",L69+180,""))))</f>
        <v>46362</v>
      </c>
      <c r="N69" s="21">
        <v>46320</v>
      </c>
      <c r="O69" s="2" t="s">
        <v>69</v>
      </c>
      <c r="P69" s="21"/>
      <c r="Q69" s="2"/>
      <c r="R69" s="2" t="s">
        <v>378</v>
      </c>
      <c r="S69" s="2"/>
      <c r="T69" s="2" t="s">
        <v>69</v>
      </c>
      <c r="U69" s="2" t="s">
        <v>69</v>
      </c>
      <c r="V69" s="2" t="s">
        <v>69</v>
      </c>
      <c r="W69" s="2"/>
      <c r="X69" s="2" t="s">
        <v>302</v>
      </c>
      <c r="Y69" s="2"/>
      <c r="Z69" s="2"/>
      <c r="AA69" s="21"/>
      <c r="AB69" s="2" t="s">
        <v>449</v>
      </c>
    </row>
    <row r="70" ht="12.75" customHeight="1">
      <c r="A70" s="2"/>
      <c r="B70" s="2" t="s">
        <v>450</v>
      </c>
      <c r="C70" s="2" t="s">
        <v>94</v>
      </c>
      <c r="D70" s="2" t="s">
        <v>451</v>
      </c>
      <c r="E70" s="2" t="s">
        <v>452</v>
      </c>
      <c r="F70" s="2" t="s">
        <v>453</v>
      </c>
      <c r="G70" s="2" t="s">
        <v>454</v>
      </c>
      <c r="H70" s="2" t="s">
        <v>455</v>
      </c>
      <c r="I70" s="2" t="s">
        <v>456</v>
      </c>
      <c r="J70" s="2" t="s">
        <v>87</v>
      </c>
      <c r="K70" s="2" t="s">
        <v>457</v>
      </c>
      <c r="L70" s="21">
        <v>46206</v>
      </c>
      <c r="M70" s="22">
        <f>IF(OR(S70="N/A",ISBLANK(S70),T70&lt;&gt;"Yes"),IF(OR(R70="Critical",R70="High"),L70+30,IF(R70="Moderate",L70+90,IF(R70="Low",L70+180,""))),IF(OR(S70="Critical",S70="High"),L70+30,IF(S70="Moderate",L70+90,IF(S70="Low",L70+180,""))))</f>
        <v>46236</v>
      </c>
      <c r="N70" s="21">
        <v>46293</v>
      </c>
      <c r="O70" s="2" t="s">
        <v>69</v>
      </c>
      <c r="P70" s="21"/>
      <c r="Q70" s="2"/>
      <c r="R70" s="2" t="s">
        <v>89</v>
      </c>
      <c r="S70" s="2"/>
      <c r="T70" s="2" t="s">
        <v>69</v>
      </c>
      <c r="U70" s="2" t="s">
        <v>69</v>
      </c>
      <c r="V70" s="2" t="s">
        <v>69</v>
      </c>
      <c r="W70" s="2"/>
      <c r="X70" s="2" t="s">
        <v>458</v>
      </c>
      <c r="Y70" s="2" t="s">
        <v>459</v>
      </c>
      <c r="Z70" s="2"/>
      <c r="AA70" s="21"/>
      <c r="AB70" s="2" t="s">
        <v>454</v>
      </c>
    </row>
    <row r="71" ht="12.75" customHeight="1">
      <c r="A71" s="2"/>
      <c r="B71" s="2" t="s">
        <v>460</v>
      </c>
      <c r="C71" s="2" t="s">
        <v>461</v>
      </c>
      <c r="D71" s="2" t="s">
        <v>462</v>
      </c>
      <c r="E71" s="2" t="s">
        <v>463</v>
      </c>
      <c r="F71" s="2" t="s">
        <v>453</v>
      </c>
      <c r="G71" s="2" t="s">
        <v>464</v>
      </c>
      <c r="H71" s="2" t="s">
        <v>455</v>
      </c>
      <c r="I71" s="2" t="s">
        <v>456</v>
      </c>
      <c r="J71" s="2" t="s">
        <v>87</v>
      </c>
      <c r="K71" s="2" t="s">
        <v>465</v>
      </c>
      <c r="L71" s="21">
        <v>46208</v>
      </c>
      <c r="M71" s="22">
        <f>IF(OR(S71="N/A",ISBLANK(S71),T71&lt;&gt;"Yes"),IF(OR(R71="Critical",R71="High"),L71+30,IF(R71="Moderate",L71+90,IF(R71="Low",L71+180,""))),IF(OR(S71="Critical",S71="High"),L71+30,IF(S71="Moderate",L71+90,IF(S71="Low",L71+180,""))))</f>
        <v>46238</v>
      </c>
      <c r="N71" s="21">
        <v>46293</v>
      </c>
      <c r="O71" s="2" t="s">
        <v>69</v>
      </c>
      <c r="P71" s="21"/>
      <c r="Q71" s="2"/>
      <c r="R71" s="2" t="s">
        <v>89</v>
      </c>
      <c r="S71" s="2"/>
      <c r="T71" s="2" t="s">
        <v>69</v>
      </c>
      <c r="U71" s="2" t="s">
        <v>69</v>
      </c>
      <c r="V71" s="2" t="s">
        <v>69</v>
      </c>
      <c r="W71" s="2"/>
      <c r="X71" s="2" t="s">
        <v>458</v>
      </c>
      <c r="Y71" s="2" t="s">
        <v>459</v>
      </c>
      <c r="Z71" s="2"/>
      <c r="AA71" s="21"/>
      <c r="AB71" s="2" t="s">
        <v>464</v>
      </c>
    </row>
    <row r="72" ht="12.75" customHeight="1">
      <c r="A72" s="2"/>
      <c r="B72" s="2" t="s">
        <v>466</v>
      </c>
      <c r="C72" s="2" t="s">
        <v>467</v>
      </c>
      <c r="D72" s="2" t="s">
        <v>468</v>
      </c>
      <c r="E72" s="2" t="s">
        <v>469</v>
      </c>
      <c r="F72" s="2" t="s">
        <v>470</v>
      </c>
      <c r="G72" s="2" t="s">
        <v>471</v>
      </c>
      <c r="H72" s="2" t="s">
        <v>472</v>
      </c>
      <c r="I72" s="2" t="s">
        <v>473</v>
      </c>
      <c r="J72" s="2" t="s">
        <v>87</v>
      </c>
      <c r="K72" s="2" t="s">
        <v>474</v>
      </c>
      <c r="L72" s="21">
        <v>46246</v>
      </c>
      <c r="M72" s="22">
        <f>IF(OR(S72="N/A",ISBLANK(S72),T72&lt;&gt;"Yes"),IF(OR(R72="Critical",R72="High"),L72+30,IF(R72="Moderate",L72+90,IF(R72="Low",L72+180,""))),IF(OR(S72="Critical",S72="High"),L72+30,IF(S72="Moderate",L72+90,IF(S72="Low",L72+180,""))))</f>
        <v>46276</v>
      </c>
      <c r="N72" s="21">
        <v>46293</v>
      </c>
      <c r="O72" s="2" t="s">
        <v>69</v>
      </c>
      <c r="P72" s="21"/>
      <c r="Q72" s="2"/>
      <c r="R72" s="2" t="s">
        <v>167</v>
      </c>
      <c r="S72" s="2"/>
      <c r="T72" s="2" t="s">
        <v>69</v>
      </c>
      <c r="U72" s="2" t="s">
        <v>69</v>
      </c>
      <c r="V72" s="2" t="s">
        <v>69</v>
      </c>
      <c r="W72" s="2"/>
      <c r="X72" s="2" t="s">
        <v>475</v>
      </c>
      <c r="Y72" s="2" t="s">
        <v>476</v>
      </c>
      <c r="Z72" s="2"/>
      <c r="AA72" s="21"/>
      <c r="AB72" s="2"/>
    </row>
    <row r="73" ht="12.75" customHeight="1">
      <c r="A73" s="2"/>
      <c r="B73" s="2" t="s">
        <v>477</v>
      </c>
      <c r="C73" s="2" t="s">
        <v>101</v>
      </c>
      <c r="D73" s="2" t="s">
        <v>478</v>
      </c>
      <c r="E73" s="2" t="s">
        <v>479</v>
      </c>
      <c r="F73" s="2" t="s">
        <v>453</v>
      </c>
      <c r="G73" s="2" t="s">
        <v>480</v>
      </c>
      <c r="H73" s="2" t="s">
        <v>481</v>
      </c>
      <c r="I73" s="2" t="s">
        <v>456</v>
      </c>
      <c r="J73" s="2" t="s">
        <v>87</v>
      </c>
      <c r="K73" s="2" t="s">
        <v>482</v>
      </c>
      <c r="L73" s="21">
        <v>46238</v>
      </c>
      <c r="M73" s="22">
        <f>IF(OR(S73="N/A",ISBLANK(S73),T73&lt;&gt;"Yes"),IF(OR(R73="Critical",R73="High"),L73+30,IF(R73="Moderate",L73+90,IF(R73="Low",L73+180,""))),IF(OR(S73="Critical",S73="High"),L73+30,IF(S73="Moderate",L73+90,IF(S73="Low",L73+180,""))))</f>
        <v>46268</v>
      </c>
      <c r="N73" s="21">
        <v>46293</v>
      </c>
      <c r="O73" s="2" t="s">
        <v>69</v>
      </c>
      <c r="P73" s="21"/>
      <c r="Q73" s="2"/>
      <c r="R73" s="2" t="s">
        <v>89</v>
      </c>
      <c r="S73" s="2"/>
      <c r="T73" s="2" t="s">
        <v>69</v>
      </c>
      <c r="U73" s="2" t="s">
        <v>69</v>
      </c>
      <c r="V73" s="2" t="s">
        <v>69</v>
      </c>
      <c r="W73" s="2"/>
      <c r="X73" s="2" t="s">
        <v>458</v>
      </c>
      <c r="Y73" s="2" t="s">
        <v>483</v>
      </c>
      <c r="Z73" s="2"/>
      <c r="AA73" s="21"/>
      <c r="AB73" s="2" t="s">
        <v>480</v>
      </c>
    </row>
    <row r="74" ht="12.75" customHeight="1">
      <c r="A74" s="2"/>
      <c r="B74" s="2" t="s">
        <v>484</v>
      </c>
      <c r="C74" s="2" t="s">
        <v>461</v>
      </c>
      <c r="D74" s="2" t="s">
        <v>485</v>
      </c>
      <c r="E74" s="2" t="s">
        <v>486</v>
      </c>
      <c r="F74" s="2" t="s">
        <v>453</v>
      </c>
      <c r="G74" s="2" t="s">
        <v>487</v>
      </c>
      <c r="H74" s="2" t="s">
        <v>481</v>
      </c>
      <c r="I74" s="2" t="s">
        <v>456</v>
      </c>
      <c r="J74" s="2" t="s">
        <v>87</v>
      </c>
      <c r="K74" s="2" t="s">
        <v>488</v>
      </c>
      <c r="L74" s="21">
        <v>46209</v>
      </c>
      <c r="M74" s="22">
        <f>IF(OR(S74="N/A",ISBLANK(S74),T74&lt;&gt;"Yes"),IF(OR(R74="Critical",R74="High"),L74+30,IF(R74="Moderate",L74+90,IF(R74="Low",L74+180,""))),IF(OR(S74="Critical",S74="High"),L74+30,IF(S74="Moderate",L74+90,IF(S74="Low",L74+180,""))))</f>
        <v>46239</v>
      </c>
      <c r="N74" s="21">
        <v>46293</v>
      </c>
      <c r="O74" s="2" t="s">
        <v>69</v>
      </c>
      <c r="P74" s="21"/>
      <c r="Q74" s="2"/>
      <c r="R74" s="2" t="s">
        <v>89</v>
      </c>
      <c r="S74" s="2"/>
      <c r="T74" s="2" t="s">
        <v>69</v>
      </c>
      <c r="U74" s="2" t="s">
        <v>69</v>
      </c>
      <c r="V74" s="2" t="s">
        <v>69</v>
      </c>
      <c r="W74" s="2"/>
      <c r="X74" s="2" t="s">
        <v>458</v>
      </c>
      <c r="Y74" s="2" t="s">
        <v>483</v>
      </c>
      <c r="Z74" s="2"/>
      <c r="AA74" s="21"/>
      <c r="AB74" s="2" t="s">
        <v>487</v>
      </c>
    </row>
    <row r="75" ht="12.75" customHeight="1">
      <c r="A75" s="2"/>
      <c r="B75" s="2" t="s">
        <v>489</v>
      </c>
      <c r="C75" s="2" t="s">
        <v>490</v>
      </c>
      <c r="D75" s="2" t="s">
        <v>491</v>
      </c>
      <c r="E75" s="2" t="s">
        <v>492</v>
      </c>
      <c r="F75" s="2" t="s">
        <v>470</v>
      </c>
      <c r="G75" s="2" t="s">
        <v>493</v>
      </c>
      <c r="H75" s="2" t="s">
        <v>494</v>
      </c>
      <c r="I75" s="2" t="s">
        <v>473</v>
      </c>
      <c r="J75" s="2" t="s">
        <v>87</v>
      </c>
      <c r="K75" s="2" t="s">
        <v>495</v>
      </c>
      <c r="L75" s="21">
        <v>46253</v>
      </c>
      <c r="M75" s="22">
        <f>IF(OR(S75="N/A",ISBLANK(S75),T75&lt;&gt;"Yes"),IF(OR(R75="Critical",R75="High"),L75+30,IF(R75="Moderate",L75+90,IF(R75="Low",L75+180,""))),IF(OR(S75="Critical",S75="High"),L75+30,IF(S75="Moderate",L75+90,IF(S75="Low",L75+180,""))))</f>
        <v>46343</v>
      </c>
      <c r="N75" s="21">
        <v>46293</v>
      </c>
      <c r="O75" s="2" t="s">
        <v>69</v>
      </c>
      <c r="P75" s="21"/>
      <c r="Q75" s="2"/>
      <c r="R75" s="2" t="s">
        <v>275</v>
      </c>
      <c r="S75" s="2"/>
      <c r="T75" s="2" t="s">
        <v>69</v>
      </c>
      <c r="U75" s="2" t="s">
        <v>69</v>
      </c>
      <c r="V75" s="2" t="s">
        <v>69</v>
      </c>
      <c r="W75" s="2"/>
      <c r="X75" s="2" t="s">
        <v>475</v>
      </c>
      <c r="Y75" s="2" t="s">
        <v>496</v>
      </c>
      <c r="Z75" s="2"/>
      <c r="AA75" s="21"/>
      <c r="AB75" s="2"/>
    </row>
    <row r="76" ht="12.75" customHeight="1">
      <c r="A76" s="2"/>
      <c r="B76" s="2" t="s">
        <v>497</v>
      </c>
      <c r="C76" s="2" t="s">
        <v>94</v>
      </c>
      <c r="D76" s="2" t="s">
        <v>498</v>
      </c>
      <c r="E76" s="2" t="s">
        <v>499</v>
      </c>
      <c r="F76" s="2" t="s">
        <v>453</v>
      </c>
      <c r="G76" s="2" t="s">
        <v>500</v>
      </c>
      <c r="H76" s="2" t="s">
        <v>501</v>
      </c>
      <c r="I76" s="2" t="s">
        <v>456</v>
      </c>
      <c r="J76" s="2" t="s">
        <v>87</v>
      </c>
      <c r="K76" s="2" t="s">
        <v>502</v>
      </c>
      <c r="L76" s="21">
        <v>46270</v>
      </c>
      <c r="M76" s="22">
        <f>IF(OR(S76="N/A",ISBLANK(S76),T76&lt;&gt;"Yes"),IF(OR(R76="Critical",R76="High"),L76+30,IF(R76="Moderate",L76+90,IF(R76="Low",L76+180,""))),IF(OR(S76="Critical",S76="High"),L76+30,IF(S76="Moderate",L76+90,IF(S76="Low",L76+180,""))))</f>
        <v>46300</v>
      </c>
      <c r="N76" s="21">
        <v>46293</v>
      </c>
      <c r="O76" s="2" t="s">
        <v>69</v>
      </c>
      <c r="P76" s="21"/>
      <c r="Q76" s="2"/>
      <c r="R76" s="2" t="s">
        <v>89</v>
      </c>
      <c r="S76" s="2"/>
      <c r="T76" s="2" t="s">
        <v>69</v>
      </c>
      <c r="U76" s="2" t="s">
        <v>69</v>
      </c>
      <c r="V76" s="2" t="s">
        <v>69</v>
      </c>
      <c r="W76" s="2"/>
      <c r="X76" s="2" t="s">
        <v>458</v>
      </c>
      <c r="Y76" s="2" t="s">
        <v>503</v>
      </c>
      <c r="Z76" s="2"/>
      <c r="AA76" s="21"/>
      <c r="AB76" s="2" t="s">
        <v>500</v>
      </c>
    </row>
    <row r="77" ht="12.75" customHeight="1">
      <c r="A77" s="2"/>
      <c r="B77" s="2" t="s">
        <v>504</v>
      </c>
      <c r="C77" s="2" t="s">
        <v>461</v>
      </c>
      <c r="D77" s="2" t="s">
        <v>505</v>
      </c>
      <c r="E77" s="2" t="s">
        <v>506</v>
      </c>
      <c r="F77" s="2" t="s">
        <v>453</v>
      </c>
      <c r="G77" s="2" t="s">
        <v>507</v>
      </c>
      <c r="H77" s="2" t="s">
        <v>508</v>
      </c>
      <c r="I77" s="2" t="s">
        <v>456</v>
      </c>
      <c r="J77" s="2" t="s">
        <v>87</v>
      </c>
      <c r="K77" s="2" t="s">
        <v>509</v>
      </c>
      <c r="L77" s="21">
        <v>46210</v>
      </c>
      <c r="M77" s="22">
        <f>IF(OR(S77="N/A",ISBLANK(S77),T77&lt;&gt;"Yes"),IF(OR(R77="Critical",R77="High"),L77+30,IF(R77="Moderate",L77+90,IF(R77="Low",L77+180,""))),IF(OR(S77="Critical",S77="High"),L77+30,IF(S77="Moderate",L77+90,IF(S77="Low",L77+180,""))))</f>
        <v>46240</v>
      </c>
      <c r="N77" s="21">
        <v>46293</v>
      </c>
      <c r="O77" s="2" t="s">
        <v>69</v>
      </c>
      <c r="P77" s="21"/>
      <c r="Q77" s="2"/>
      <c r="R77" s="2" t="s">
        <v>89</v>
      </c>
      <c r="S77" s="2"/>
      <c r="T77" s="2" t="s">
        <v>69</v>
      </c>
      <c r="U77" s="2" t="s">
        <v>69</v>
      </c>
      <c r="V77" s="2" t="s">
        <v>69</v>
      </c>
      <c r="W77" s="2"/>
      <c r="X77" s="2" t="s">
        <v>458</v>
      </c>
      <c r="Y77" s="2" t="s">
        <v>510</v>
      </c>
      <c r="Z77" s="2"/>
      <c r="AA77" s="21"/>
      <c r="AB77" s="2" t="s">
        <v>507</v>
      </c>
    </row>
    <row r="78" ht="12.75" customHeight="1">
      <c r="A78" s="2"/>
      <c r="B78" s="2" t="s">
        <v>511</v>
      </c>
      <c r="C78" s="2" t="s">
        <v>512</v>
      </c>
      <c r="D78" s="2" t="s">
        <v>513</v>
      </c>
      <c r="E78" s="2" t="s">
        <v>514</v>
      </c>
      <c r="F78" s="2" t="s">
        <v>470</v>
      </c>
      <c r="G78" s="2" t="s">
        <v>515</v>
      </c>
      <c r="H78" s="2" t="s">
        <v>516</v>
      </c>
      <c r="I78" s="2" t="s">
        <v>473</v>
      </c>
      <c r="J78" s="2" t="s">
        <v>87</v>
      </c>
      <c r="K78" s="2" t="s">
        <v>517</v>
      </c>
      <c r="L78" s="21">
        <v>46267</v>
      </c>
      <c r="M78" s="22">
        <f>IF(OR(S78="N/A",ISBLANK(S78),T78&lt;&gt;"Yes"),IF(OR(R78="Critical",R78="High"),L78+30,IF(R78="Moderate",L78+90,IF(R78="Low",L78+180,""))),IF(OR(S78="Critical",S78="High"),L78+30,IF(S78="Moderate",L78+90,IF(S78="Low",L78+180,""))))</f>
        <v>46357</v>
      </c>
      <c r="N78" s="21">
        <v>46293</v>
      </c>
      <c r="O78" s="2" t="s">
        <v>69</v>
      </c>
      <c r="P78" s="21"/>
      <c r="Q78" s="2"/>
      <c r="R78" s="2" t="s">
        <v>275</v>
      </c>
      <c r="S78" s="2"/>
      <c r="T78" s="2" t="s">
        <v>69</v>
      </c>
      <c r="U78" s="2" t="s">
        <v>69</v>
      </c>
      <c r="V78" s="2" t="s">
        <v>69</v>
      </c>
      <c r="W78" s="2"/>
      <c r="X78" s="2" t="s">
        <v>475</v>
      </c>
      <c r="Y78" s="2" t="s">
        <v>518</v>
      </c>
      <c r="Z78" s="2"/>
      <c r="AA78" s="21"/>
      <c r="AB78" s="2"/>
    </row>
    <row r="79" ht="12.75" customHeight="1">
      <c r="A79" s="2"/>
      <c r="B79" s="2" t="s">
        <v>519</v>
      </c>
      <c r="C79" s="2" t="s">
        <v>94</v>
      </c>
      <c r="D79" s="2" t="s">
        <v>520</v>
      </c>
      <c r="E79" s="2" t="s">
        <v>521</v>
      </c>
      <c r="F79" s="2" t="s">
        <v>453</v>
      </c>
      <c r="G79" s="2" t="s">
        <v>522</v>
      </c>
      <c r="H79" s="2" t="s">
        <v>523</v>
      </c>
      <c r="I79" s="2" t="s">
        <v>456</v>
      </c>
      <c r="J79" s="2" t="s">
        <v>87</v>
      </c>
      <c r="K79" s="2" t="s">
        <v>524</v>
      </c>
      <c r="L79" s="21">
        <v>46209</v>
      </c>
      <c r="M79" s="22">
        <f>IF(OR(S79="N/A",ISBLANK(S79),T79&lt;&gt;"Yes"),IF(OR(R79="Critical",R79="High"),L79+30,IF(R79="Moderate",L79+90,IF(R79="Low",L79+180,""))),IF(OR(S79="Critical",S79="High"),L79+30,IF(S79="Moderate",L79+90,IF(S79="Low",L79+180,""))))</f>
        <v>46239</v>
      </c>
      <c r="N79" s="21">
        <v>46293</v>
      </c>
      <c r="O79" s="2" t="s">
        <v>69</v>
      </c>
      <c r="P79" s="21"/>
      <c r="Q79" s="2"/>
      <c r="R79" s="2" t="s">
        <v>89</v>
      </c>
      <c r="S79" s="2"/>
      <c r="T79" s="2" t="s">
        <v>69</v>
      </c>
      <c r="U79" s="2" t="s">
        <v>69</v>
      </c>
      <c r="V79" s="2" t="s">
        <v>69</v>
      </c>
      <c r="W79" s="2"/>
      <c r="X79" s="2" t="s">
        <v>458</v>
      </c>
      <c r="Y79" s="2" t="s">
        <v>525</v>
      </c>
      <c r="Z79" s="2"/>
      <c r="AA79" s="21"/>
      <c r="AB79" s="2" t="s">
        <v>522</v>
      </c>
    </row>
    <row r="80" ht="12.75" customHeight="1">
      <c r="A80" s="2"/>
      <c r="B80" s="2" t="s">
        <v>526</v>
      </c>
      <c r="C80" s="2" t="s">
        <v>461</v>
      </c>
      <c r="D80" s="2" t="s">
        <v>527</v>
      </c>
      <c r="E80" s="2" t="s">
        <v>528</v>
      </c>
      <c r="F80" s="2" t="s">
        <v>453</v>
      </c>
      <c r="G80" s="2" t="s">
        <v>529</v>
      </c>
      <c r="H80" s="2" t="s">
        <v>530</v>
      </c>
      <c r="I80" s="2" t="s">
        <v>456</v>
      </c>
      <c r="J80" s="2" t="s">
        <v>87</v>
      </c>
      <c r="K80" s="2" t="s">
        <v>531</v>
      </c>
      <c r="L80" s="21">
        <v>46211</v>
      </c>
      <c r="M80" s="22">
        <f>IF(OR(S80="N/A",ISBLANK(S80),T80&lt;&gt;"Yes"),IF(OR(R80="Critical",R80="High"),L80+30,IF(R80="Moderate",L80+90,IF(R80="Low",L80+180,""))),IF(OR(S80="Critical",S80="High"),L80+30,IF(S80="Moderate",L80+90,IF(S80="Low",L80+180,""))))</f>
        <v>46241</v>
      </c>
      <c r="N80" s="21">
        <v>46293</v>
      </c>
      <c r="O80" s="2" t="s">
        <v>69</v>
      </c>
      <c r="P80" s="21"/>
      <c r="Q80" s="2"/>
      <c r="R80" s="2" t="s">
        <v>167</v>
      </c>
      <c r="S80" s="2"/>
      <c r="T80" s="2" t="s">
        <v>69</v>
      </c>
      <c r="U80" s="2" t="s">
        <v>69</v>
      </c>
      <c r="V80" s="2" t="s">
        <v>69</v>
      </c>
      <c r="W80" s="2"/>
      <c r="X80" s="2" t="s">
        <v>458</v>
      </c>
      <c r="Y80" s="2" t="s">
        <v>532</v>
      </c>
      <c r="Z80" s="2"/>
      <c r="AA80" s="21"/>
      <c r="AB80" s="2" t="s">
        <v>529</v>
      </c>
    </row>
    <row r="81" ht="12.75" customHeight="1">
      <c r="A81" s="2"/>
      <c r="B81" s="2" t="s">
        <v>533</v>
      </c>
      <c r="C81" s="2" t="s">
        <v>534</v>
      </c>
      <c r="D81" s="2" t="s">
        <v>535</v>
      </c>
      <c r="E81" s="2" t="s">
        <v>536</v>
      </c>
      <c r="F81" s="2" t="s">
        <v>470</v>
      </c>
      <c r="G81" s="2" t="s">
        <v>537</v>
      </c>
      <c r="H81" s="2" t="s">
        <v>538</v>
      </c>
      <c r="I81" s="2" t="s">
        <v>473</v>
      </c>
      <c r="J81" s="2" t="s">
        <v>87</v>
      </c>
      <c r="K81" s="2" t="s">
        <v>539</v>
      </c>
      <c r="L81" s="21">
        <v>46275</v>
      </c>
      <c r="M81" s="22">
        <f>IF(OR(S81="N/A",ISBLANK(S81),T81&lt;&gt;"Yes"),IF(OR(R81="Critical",R81="High"),L81+30,IF(R81="Moderate",L81+90,IF(R81="Low",L81+180,""))),IF(OR(S81="Critical",S81="High"),L81+30,IF(S81="Moderate",L81+90,IF(S81="Low",L81+180,""))))</f>
        <v>46455</v>
      </c>
      <c r="N81" s="21">
        <v>46293</v>
      </c>
      <c r="O81" s="2" t="s">
        <v>69</v>
      </c>
      <c r="P81" s="21"/>
      <c r="Q81" s="2"/>
      <c r="R81" s="2" t="s">
        <v>378</v>
      </c>
      <c r="S81" s="2"/>
      <c r="T81" s="2" t="s">
        <v>69</v>
      </c>
      <c r="U81" s="2" t="s">
        <v>69</v>
      </c>
      <c r="V81" s="2" t="s">
        <v>69</v>
      </c>
      <c r="W81" s="2"/>
      <c r="X81" s="2" t="s">
        <v>475</v>
      </c>
      <c r="Y81" s="2" t="s">
        <v>540</v>
      </c>
      <c r="Z81" s="2"/>
      <c r="AA81" s="21"/>
      <c r="AB81" s="2"/>
    </row>
    <row r="82" ht="12.75" customHeight="1">
      <c r="A82" s="2"/>
      <c r="B82" s="2" t="s">
        <v>541</v>
      </c>
      <c r="C82" s="2" t="s">
        <v>542</v>
      </c>
      <c r="D82" s="2" t="s">
        <v>543</v>
      </c>
      <c r="E82" s="2" t="s">
        <v>544</v>
      </c>
      <c r="F82" s="2" t="s">
        <v>453</v>
      </c>
      <c r="G82" s="2" t="s">
        <v>545</v>
      </c>
      <c r="H82" s="2" t="s">
        <v>546</v>
      </c>
      <c r="I82" s="2" t="s">
        <v>456</v>
      </c>
      <c r="J82" s="2" t="s">
        <v>87</v>
      </c>
      <c r="K82" s="2" t="s">
        <v>547</v>
      </c>
      <c r="L82" s="21">
        <v>46241</v>
      </c>
      <c r="M82" s="22">
        <f>IF(OR(S82="N/A",ISBLANK(S82),T82&lt;&gt;"Yes"),IF(OR(R82="Critical",R82="High"),L82+30,IF(R82="Moderate",L82+90,IF(R82="Low",L82+180,""))),IF(OR(S82="Critical",S82="High"),L82+30,IF(S82="Moderate",L82+90,IF(S82="Low",L82+180,""))))</f>
        <v>46271</v>
      </c>
      <c r="N82" s="21">
        <v>46293</v>
      </c>
      <c r="O82" s="2" t="s">
        <v>69</v>
      </c>
      <c r="P82" s="21"/>
      <c r="Q82" s="2"/>
      <c r="R82" s="2" t="s">
        <v>89</v>
      </c>
      <c r="S82" s="2"/>
      <c r="T82" s="2" t="s">
        <v>69</v>
      </c>
      <c r="U82" s="2" t="s">
        <v>69</v>
      </c>
      <c r="V82" s="2" t="s">
        <v>69</v>
      </c>
      <c r="W82" s="2"/>
      <c r="X82" s="2" t="s">
        <v>458</v>
      </c>
      <c r="Y82" s="2" t="s">
        <v>548</v>
      </c>
      <c r="Z82" s="2"/>
      <c r="AA82" s="21"/>
      <c r="AB82" s="2"/>
    </row>
    <row r="83" ht="12.75" customHeight="1">
      <c r="A83" s="2"/>
      <c r="B83" s="2" t="s">
        <v>549</v>
      </c>
      <c r="C83" s="2" t="s">
        <v>461</v>
      </c>
      <c r="D83" s="2" t="s">
        <v>550</v>
      </c>
      <c r="E83" s="2" t="s">
        <v>551</v>
      </c>
      <c r="F83" s="2" t="s">
        <v>453</v>
      </c>
      <c r="G83" s="2" t="s">
        <v>552</v>
      </c>
      <c r="H83" s="2" t="s">
        <v>546</v>
      </c>
      <c r="I83" s="2" t="s">
        <v>456</v>
      </c>
      <c r="J83" s="2" t="s">
        <v>87</v>
      </c>
      <c r="K83" s="2" t="s">
        <v>553</v>
      </c>
      <c r="L83" s="21">
        <v>46212</v>
      </c>
      <c r="M83" s="22">
        <f>IF(OR(S83="N/A",ISBLANK(S83),T83&lt;&gt;"Yes"),IF(OR(R83="Critical",R83="High"),L83+30,IF(R83="Moderate",L83+90,IF(R83="Low",L83+180,""))),IF(OR(S83="Critical",S83="High"),L83+30,IF(S83="Moderate",L83+90,IF(S83="Low",L83+180,""))))</f>
        <v>46242</v>
      </c>
      <c r="N83" s="21">
        <v>46293</v>
      </c>
      <c r="O83" s="2" t="s">
        <v>69</v>
      </c>
      <c r="P83" s="21"/>
      <c r="Q83" s="2"/>
      <c r="R83" s="2" t="s">
        <v>167</v>
      </c>
      <c r="S83" s="2"/>
      <c r="T83" s="2" t="s">
        <v>69</v>
      </c>
      <c r="U83" s="2" t="s">
        <v>69</v>
      </c>
      <c r="V83" s="2" t="s">
        <v>69</v>
      </c>
      <c r="W83" s="2"/>
      <c r="X83" s="2" t="s">
        <v>458</v>
      </c>
      <c r="Y83" s="2" t="s">
        <v>548</v>
      </c>
      <c r="Z83" s="2"/>
      <c r="AA83" s="21"/>
      <c r="AB83" s="2" t="s">
        <v>552</v>
      </c>
    </row>
    <row r="84" ht="12.75" customHeight="1">
      <c r="A84" s="2"/>
      <c r="B84" s="2" t="s">
        <v>554</v>
      </c>
      <c r="C84" s="2" t="s">
        <v>555</v>
      </c>
      <c r="D84" s="2" t="s">
        <v>556</v>
      </c>
      <c r="E84" s="2" t="s">
        <v>557</v>
      </c>
      <c r="F84" s="2" t="s">
        <v>470</v>
      </c>
      <c r="G84" s="2" t="s">
        <v>558</v>
      </c>
      <c r="H84" s="2" t="s">
        <v>538</v>
      </c>
      <c r="I84" s="2" t="s">
        <v>473</v>
      </c>
      <c r="J84" s="2" t="s">
        <v>87</v>
      </c>
      <c r="K84" s="2" t="s">
        <v>559</v>
      </c>
      <c r="L84" s="21">
        <v>46259</v>
      </c>
      <c r="M84" s="22">
        <f>IF(OR(S84="N/A",ISBLANK(S84),T84&lt;&gt;"Yes"),IF(OR(R84="Critical",R84="High"),L84+30,IF(R84="Moderate",L84+90,IF(R84="Low",L84+180,""))),IF(OR(S84="Critical",S84="High"),L84+30,IF(S84="Moderate",L84+90,IF(S84="Low",L84+180,""))))</f>
        <v>46349</v>
      </c>
      <c r="N84" s="21">
        <v>46293</v>
      </c>
      <c r="O84" s="2" t="s">
        <v>69</v>
      </c>
      <c r="P84" s="21"/>
      <c r="Q84" s="2"/>
      <c r="R84" s="2" t="s">
        <v>275</v>
      </c>
      <c r="S84" s="2"/>
      <c r="T84" s="2" t="s">
        <v>69</v>
      </c>
      <c r="U84" s="2" t="s">
        <v>69</v>
      </c>
      <c r="V84" s="2" t="s">
        <v>69</v>
      </c>
      <c r="W84" s="2"/>
      <c r="X84" s="2" t="s">
        <v>475</v>
      </c>
      <c r="Y84" s="2" t="s">
        <v>540</v>
      </c>
      <c r="Z84" s="2"/>
      <c r="AA84" s="21"/>
      <c r="AB84" s="2"/>
    </row>
    <row r="85" ht="12.75" customHeight="1">
      <c r="A85" s="2"/>
      <c r="B85" s="2" t="s">
        <v>560</v>
      </c>
      <c r="C85" s="2" t="s">
        <v>94</v>
      </c>
      <c r="D85" s="2" t="s">
        <v>561</v>
      </c>
      <c r="E85" s="2" t="s">
        <v>562</v>
      </c>
      <c r="F85" s="2" t="s">
        <v>453</v>
      </c>
      <c r="G85" s="2" t="s">
        <v>563</v>
      </c>
      <c r="H85" s="2" t="s">
        <v>564</v>
      </c>
      <c r="I85" s="2" t="s">
        <v>456</v>
      </c>
      <c r="J85" s="2" t="s">
        <v>87</v>
      </c>
      <c r="K85" s="2" t="s">
        <v>565</v>
      </c>
      <c r="L85" s="21">
        <v>46273</v>
      </c>
      <c r="M85" s="22">
        <f>IF(OR(S85="N/A",ISBLANK(S85),T85&lt;&gt;"Yes"),IF(OR(R85="Critical",R85="High"),L85+30,IF(R85="Moderate",L85+90,IF(R85="Low",L85+180,""))),IF(OR(S85="Critical",S85="High"),L85+30,IF(S85="Moderate",L85+90,IF(S85="Low",L85+180,""))))</f>
        <v>46303</v>
      </c>
      <c r="N85" s="21">
        <v>46293</v>
      </c>
      <c r="O85" s="2" t="s">
        <v>69</v>
      </c>
      <c r="P85" s="21"/>
      <c r="Q85" s="2"/>
      <c r="R85" s="2" t="s">
        <v>89</v>
      </c>
      <c r="S85" s="2"/>
      <c r="T85" s="2" t="s">
        <v>69</v>
      </c>
      <c r="U85" s="2" t="s">
        <v>69</v>
      </c>
      <c r="V85" s="2" t="s">
        <v>69</v>
      </c>
      <c r="W85" s="2"/>
      <c r="X85" s="2" t="s">
        <v>458</v>
      </c>
      <c r="Y85" s="2" t="s">
        <v>566</v>
      </c>
      <c r="Z85" s="2"/>
      <c r="AA85" s="21"/>
      <c r="AB85" s="2" t="s">
        <v>563</v>
      </c>
    </row>
    <row r="86" ht="12.75" customHeight="1">
      <c r="A86" s="2"/>
      <c r="B86" s="2" t="s">
        <v>567</v>
      </c>
      <c r="C86" s="2" t="s">
        <v>461</v>
      </c>
      <c r="D86" s="2" t="s">
        <v>568</v>
      </c>
      <c r="E86" s="2" t="s">
        <v>569</v>
      </c>
      <c r="F86" s="2" t="s">
        <v>453</v>
      </c>
      <c r="G86" s="2" t="s">
        <v>570</v>
      </c>
      <c r="H86" s="2" t="s">
        <v>564</v>
      </c>
      <c r="I86" s="2" t="s">
        <v>456</v>
      </c>
      <c r="J86" s="2" t="s">
        <v>87</v>
      </c>
      <c r="K86" s="2" t="s">
        <v>571</v>
      </c>
      <c r="L86" s="21">
        <v>46213</v>
      </c>
      <c r="M86" s="22">
        <f>IF(OR(S86="N/A",ISBLANK(S86),T86&lt;&gt;"Yes"),IF(OR(R86="Critical",R86="High"),L86+30,IF(R86="Moderate",L86+90,IF(R86="Low",L86+180,""))),IF(OR(S86="Critical",S86="High"),L86+30,IF(S86="Moderate",L86+90,IF(S86="Low",L86+180,""))))</f>
        <v>46243</v>
      </c>
      <c r="N86" s="21">
        <v>46293</v>
      </c>
      <c r="O86" s="2" t="s">
        <v>69</v>
      </c>
      <c r="P86" s="21"/>
      <c r="Q86" s="2"/>
      <c r="R86" s="2" t="s">
        <v>167</v>
      </c>
      <c r="S86" s="2"/>
      <c r="T86" s="2" t="s">
        <v>69</v>
      </c>
      <c r="U86" s="2" t="s">
        <v>69</v>
      </c>
      <c r="V86" s="2" t="s">
        <v>69</v>
      </c>
      <c r="W86" s="2"/>
      <c r="X86" s="2" t="s">
        <v>458</v>
      </c>
      <c r="Y86" s="2" t="s">
        <v>566</v>
      </c>
      <c r="Z86" s="2"/>
      <c r="AA86" s="21"/>
      <c r="AB86" s="2" t="s">
        <v>570</v>
      </c>
    </row>
    <row r="87" ht="12.75" customHeight="1">
      <c r="A87" s="2"/>
      <c r="B87" s="2" t="s">
        <v>572</v>
      </c>
      <c r="C87" s="2" t="s">
        <v>94</v>
      </c>
      <c r="D87" s="2" t="s">
        <v>573</v>
      </c>
      <c r="E87" s="2" t="s">
        <v>574</v>
      </c>
      <c r="F87" s="2" t="s">
        <v>453</v>
      </c>
      <c r="G87" s="2" t="s">
        <v>575</v>
      </c>
      <c r="H87" s="2" t="s">
        <v>576</v>
      </c>
      <c r="I87" s="2" t="s">
        <v>456</v>
      </c>
      <c r="J87" s="2" t="s">
        <v>87</v>
      </c>
      <c r="K87" s="2" t="s">
        <v>577</v>
      </c>
      <c r="L87" s="21">
        <v>46212</v>
      </c>
      <c r="M87" s="22">
        <f>IF(OR(S87="N/A",ISBLANK(S87),T87&lt;&gt;"Yes"),IF(OR(R87="Critical",R87="High"),L87+30,IF(R87="Moderate",L87+90,IF(R87="Low",L87+180,""))),IF(OR(S87="Critical",S87="High"),L87+30,IF(S87="Moderate",L87+90,IF(S87="Low",L87+180,""))))</f>
        <v>46242</v>
      </c>
      <c r="N87" s="21">
        <v>46293</v>
      </c>
      <c r="O87" s="2" t="s">
        <v>69</v>
      </c>
      <c r="P87" s="21"/>
      <c r="Q87" s="2"/>
      <c r="R87" s="2" t="s">
        <v>89</v>
      </c>
      <c r="S87" s="2"/>
      <c r="T87" s="2" t="s">
        <v>69</v>
      </c>
      <c r="U87" s="2" t="s">
        <v>69</v>
      </c>
      <c r="V87" s="2" t="s">
        <v>69</v>
      </c>
      <c r="W87" s="2"/>
      <c r="X87" s="2" t="s">
        <v>458</v>
      </c>
      <c r="Y87" s="2" t="s">
        <v>578</v>
      </c>
      <c r="Z87" s="2"/>
      <c r="AA87" s="21"/>
      <c r="AB87" s="2" t="s">
        <v>575</v>
      </c>
    </row>
    <row r="88" ht="12.75" customHeight="1">
      <c r="A88" s="2"/>
      <c r="B88" s="2" t="s">
        <v>579</v>
      </c>
      <c r="C88" s="2" t="s">
        <v>461</v>
      </c>
      <c r="D88" s="2" t="s">
        <v>580</v>
      </c>
      <c r="E88" s="2" t="s">
        <v>581</v>
      </c>
      <c r="F88" s="2" t="s">
        <v>453</v>
      </c>
      <c r="G88" s="2" t="s">
        <v>582</v>
      </c>
      <c r="H88" s="2" t="s">
        <v>576</v>
      </c>
      <c r="I88" s="2" t="s">
        <v>456</v>
      </c>
      <c r="J88" s="2" t="s">
        <v>87</v>
      </c>
      <c r="K88" s="2" t="s">
        <v>583</v>
      </c>
      <c r="L88" s="21">
        <v>46214</v>
      </c>
      <c r="M88" s="22">
        <f>IF(OR(S88="N/A",ISBLANK(S88),T88&lt;&gt;"Yes"),IF(OR(R88="Critical",R88="High"),L88+30,IF(R88="Moderate",L88+90,IF(R88="Low",L88+180,""))),IF(OR(S88="Critical",S88="High"),L88+30,IF(S88="Moderate",L88+90,IF(S88="Low",L88+180,""))))</f>
        <v>46244</v>
      </c>
      <c r="N88" s="21">
        <v>46293</v>
      </c>
      <c r="O88" s="2" t="s">
        <v>69</v>
      </c>
      <c r="P88" s="21"/>
      <c r="Q88" s="2"/>
      <c r="R88" s="2" t="s">
        <v>167</v>
      </c>
      <c r="S88" s="2"/>
      <c r="T88" s="2" t="s">
        <v>69</v>
      </c>
      <c r="U88" s="2" t="s">
        <v>69</v>
      </c>
      <c r="V88" s="2" t="s">
        <v>69</v>
      </c>
      <c r="W88" s="2"/>
      <c r="X88" s="2" t="s">
        <v>458</v>
      </c>
      <c r="Y88" s="2" t="s">
        <v>578</v>
      </c>
      <c r="Z88" s="2"/>
      <c r="AA88" s="21"/>
      <c r="AB88" s="2" t="s">
        <v>582</v>
      </c>
    </row>
    <row r="89" ht="12.75" customHeight="1">
      <c r="A89" s="2"/>
      <c r="B89" s="2" t="s">
        <v>584</v>
      </c>
      <c r="C89" s="2" t="s">
        <v>101</v>
      </c>
      <c r="D89" s="2" t="s">
        <v>585</v>
      </c>
      <c r="E89" s="2" t="s">
        <v>586</v>
      </c>
      <c r="F89" s="2" t="s">
        <v>453</v>
      </c>
      <c r="G89" s="2" t="s">
        <v>587</v>
      </c>
      <c r="H89" s="2" t="s">
        <v>588</v>
      </c>
      <c r="I89" s="2" t="s">
        <v>456</v>
      </c>
      <c r="J89" s="2" t="s">
        <v>87</v>
      </c>
      <c r="K89" s="2" t="s">
        <v>482</v>
      </c>
      <c r="L89" s="21">
        <v>46244</v>
      </c>
      <c r="M89" s="22">
        <f>IF(OR(S89="N/A",ISBLANK(S89),T89&lt;&gt;"Yes"),IF(OR(R89="Critical",R89="High"),L89+30,IF(R89="Moderate",L89+90,IF(R89="Low",L89+180,""))),IF(OR(S89="Critical",S89="High"),L89+30,IF(S89="Moderate",L89+90,IF(S89="Low",L89+180,""))))</f>
        <v>46274</v>
      </c>
      <c r="N89" s="21">
        <v>46293</v>
      </c>
      <c r="O89" s="2" t="s">
        <v>69</v>
      </c>
      <c r="P89" s="21"/>
      <c r="Q89" s="2"/>
      <c r="R89" s="2" t="s">
        <v>89</v>
      </c>
      <c r="S89" s="2"/>
      <c r="T89" s="2" t="s">
        <v>69</v>
      </c>
      <c r="U89" s="2" t="s">
        <v>69</v>
      </c>
      <c r="V89" s="2" t="s">
        <v>69</v>
      </c>
      <c r="W89" s="2"/>
      <c r="X89" s="2" t="s">
        <v>458</v>
      </c>
      <c r="Y89" s="2" t="s">
        <v>589</v>
      </c>
      <c r="Z89" s="2"/>
      <c r="AA89" s="21"/>
      <c r="AB89" s="2" t="s">
        <v>587</v>
      </c>
    </row>
    <row r="90" ht="12.75" customHeight="1">
      <c r="A90" s="2"/>
      <c r="B90" s="2" t="s">
        <v>590</v>
      </c>
      <c r="C90" s="2" t="s">
        <v>461</v>
      </c>
      <c r="D90" s="2" t="s">
        <v>591</v>
      </c>
      <c r="E90" s="2" t="s">
        <v>592</v>
      </c>
      <c r="F90" s="2" t="s">
        <v>453</v>
      </c>
      <c r="G90" s="2" t="s">
        <v>593</v>
      </c>
      <c r="H90" s="2" t="s">
        <v>588</v>
      </c>
      <c r="I90" s="2" t="s">
        <v>456</v>
      </c>
      <c r="J90" s="2" t="s">
        <v>87</v>
      </c>
      <c r="K90" s="2" t="s">
        <v>594</v>
      </c>
      <c r="L90" s="21">
        <v>46215</v>
      </c>
      <c r="M90" s="22">
        <f>IF(OR(S90="N/A",ISBLANK(S90),T90&lt;&gt;"Yes"),IF(OR(R90="Critical",R90="High"),L90+30,IF(R90="Moderate",L90+90,IF(R90="Low",L90+180,""))),IF(OR(S90="Critical",S90="High"),L90+30,IF(S90="Moderate",L90+90,IF(S90="Low",L90+180,""))))</f>
        <v>46245</v>
      </c>
      <c r="N90" s="21">
        <v>46293</v>
      </c>
      <c r="O90" s="2" t="s">
        <v>69</v>
      </c>
      <c r="P90" s="21"/>
      <c r="Q90" s="2"/>
      <c r="R90" s="2" t="s">
        <v>167</v>
      </c>
      <c r="S90" s="2"/>
      <c r="T90" s="2" t="s">
        <v>69</v>
      </c>
      <c r="U90" s="2" t="s">
        <v>69</v>
      </c>
      <c r="V90" s="2" t="s">
        <v>69</v>
      </c>
      <c r="W90" s="2"/>
      <c r="X90" s="2" t="s">
        <v>458</v>
      </c>
      <c r="Y90" s="2" t="s">
        <v>589</v>
      </c>
      <c r="Z90" s="2"/>
      <c r="AA90" s="21"/>
      <c r="AB90" s="2" t="s">
        <v>593</v>
      </c>
    </row>
    <row r="91" ht="12.75" customHeight="1">
      <c r="A91" s="2"/>
      <c r="B91" s="2" t="s">
        <v>595</v>
      </c>
      <c r="C91" s="2" t="s">
        <v>94</v>
      </c>
      <c r="D91" s="2" t="s">
        <v>596</v>
      </c>
      <c r="E91" s="2" t="s">
        <v>597</v>
      </c>
      <c r="F91" s="2" t="s">
        <v>453</v>
      </c>
      <c r="G91" s="2" t="s">
        <v>598</v>
      </c>
      <c r="H91" s="2" t="s">
        <v>599</v>
      </c>
      <c r="I91" s="2" t="s">
        <v>456</v>
      </c>
      <c r="J91" s="2" t="s">
        <v>87</v>
      </c>
      <c r="K91" s="2" t="s">
        <v>502</v>
      </c>
      <c r="L91" s="21">
        <v>46276</v>
      </c>
      <c r="M91" s="22">
        <f>IF(OR(S91="N/A",ISBLANK(S91),T91&lt;&gt;"Yes"),IF(OR(R91="Critical",R91="High"),L91+30,IF(R91="Moderate",L91+90,IF(R91="Low",L91+180,""))),IF(OR(S91="Critical",S91="High"),L91+30,IF(S91="Moderate",L91+90,IF(S91="Low",L91+180,""))))</f>
        <v>46306</v>
      </c>
      <c r="N91" s="21">
        <v>46293</v>
      </c>
      <c r="O91" s="2" t="s">
        <v>69</v>
      </c>
      <c r="P91" s="21"/>
      <c r="Q91" s="2"/>
      <c r="R91" s="2" t="s">
        <v>89</v>
      </c>
      <c r="S91" s="2"/>
      <c r="T91" s="2" t="s">
        <v>69</v>
      </c>
      <c r="U91" s="2" t="s">
        <v>69</v>
      </c>
      <c r="V91" s="2" t="s">
        <v>69</v>
      </c>
      <c r="W91" s="2"/>
      <c r="X91" s="2" t="s">
        <v>458</v>
      </c>
      <c r="Y91" s="2" t="s">
        <v>600</v>
      </c>
      <c r="Z91" s="2"/>
      <c r="AA91" s="21"/>
      <c r="AB91" s="2" t="s">
        <v>598</v>
      </c>
    </row>
    <row r="92" ht="12.75" customHeight="1">
      <c r="A92" s="2"/>
      <c r="B92" s="2" t="s">
        <v>601</v>
      </c>
      <c r="C92" s="2" t="s">
        <v>602</v>
      </c>
      <c r="D92" s="2" t="s">
        <v>603</v>
      </c>
      <c r="E92" s="2" t="s">
        <v>604</v>
      </c>
      <c r="F92" s="2" t="s">
        <v>453</v>
      </c>
      <c r="G92" s="2" t="s">
        <v>605</v>
      </c>
      <c r="H92" s="2" t="s">
        <v>606</v>
      </c>
      <c r="I92" s="2" t="s">
        <v>456</v>
      </c>
      <c r="J92" s="2" t="s">
        <v>87</v>
      </c>
      <c r="K92" s="2" t="s">
        <v>607</v>
      </c>
      <c r="L92" s="21">
        <v>46216</v>
      </c>
      <c r="M92" s="22">
        <f>IF(OR(S92="N/A",ISBLANK(S92),T92&lt;&gt;"Yes"),IF(OR(R92="Critical",R92="High"),L92+30,IF(R92="Moderate",L92+90,IF(R92="Low",L92+180,""))),IF(OR(S92="Critical",S92="High"),L92+30,IF(S92="Moderate",L92+90,IF(S92="Low",L92+180,""))))</f>
        <v>46306</v>
      </c>
      <c r="N92" s="21">
        <v>46293</v>
      </c>
      <c r="O92" s="2" t="s">
        <v>69</v>
      </c>
      <c r="P92" s="21"/>
      <c r="Q92" s="2"/>
      <c r="R92" s="2" t="s">
        <v>275</v>
      </c>
      <c r="S92" s="2"/>
      <c r="T92" s="2" t="s">
        <v>69</v>
      </c>
      <c r="U92" s="2" t="s">
        <v>69</v>
      </c>
      <c r="V92" s="2" t="s">
        <v>69</v>
      </c>
      <c r="W92" s="2"/>
      <c r="X92" s="2" t="s">
        <v>458</v>
      </c>
      <c r="Y92" s="2" t="s">
        <v>608</v>
      </c>
      <c r="Z92" s="2"/>
      <c r="AA92" s="21"/>
      <c r="AB92" s="2"/>
    </row>
    <row r="93" ht="12.75" customHeight="1">
      <c r="A93" s="2"/>
      <c r="B93" s="2" t="s">
        <v>609</v>
      </c>
      <c r="C93" s="2" t="s">
        <v>94</v>
      </c>
      <c r="D93" s="2" t="s">
        <v>610</v>
      </c>
      <c r="E93" s="2" t="s">
        <v>611</v>
      </c>
      <c r="F93" s="2" t="s">
        <v>453</v>
      </c>
      <c r="G93" s="2" t="s">
        <v>612</v>
      </c>
      <c r="H93" s="2" t="s">
        <v>613</v>
      </c>
      <c r="I93" s="2" t="s">
        <v>456</v>
      </c>
      <c r="J93" s="2" t="s">
        <v>87</v>
      </c>
      <c r="K93" s="2" t="s">
        <v>614</v>
      </c>
      <c r="L93" s="21">
        <v>46215</v>
      </c>
      <c r="M93" s="22">
        <f>IF(OR(S93="N/A",ISBLANK(S93),T93&lt;&gt;"Yes"),IF(OR(R93="Critical",R93="High"),L93+30,IF(R93="Moderate",L93+90,IF(R93="Low",L93+180,""))),IF(OR(S93="Critical",S93="High"),L93+30,IF(S93="Moderate",L93+90,IF(S93="Low",L93+180,""))))</f>
        <v>46245</v>
      </c>
      <c r="N93" s="21">
        <v>46293</v>
      </c>
      <c r="O93" s="2" t="s">
        <v>69</v>
      </c>
      <c r="P93" s="21"/>
      <c r="Q93" s="2"/>
      <c r="R93" s="2" t="s">
        <v>89</v>
      </c>
      <c r="S93" s="2"/>
      <c r="T93" s="2" t="s">
        <v>69</v>
      </c>
      <c r="U93" s="2" t="s">
        <v>69</v>
      </c>
      <c r="V93" s="2" t="s">
        <v>69</v>
      </c>
      <c r="W93" s="2"/>
      <c r="X93" s="2" t="s">
        <v>458</v>
      </c>
      <c r="Y93" s="2" t="s">
        <v>615</v>
      </c>
      <c r="Z93" s="2"/>
      <c r="AA93" s="21"/>
      <c r="AB93" s="2" t="s">
        <v>612</v>
      </c>
    </row>
    <row r="94" ht="12.75" customHeight="1">
      <c r="A94" s="2"/>
      <c r="B94" s="2" t="s">
        <v>616</v>
      </c>
      <c r="C94" s="2" t="s">
        <v>602</v>
      </c>
      <c r="D94" s="2" t="s">
        <v>617</v>
      </c>
      <c r="E94" s="2" t="s">
        <v>618</v>
      </c>
      <c r="F94" s="2" t="s">
        <v>453</v>
      </c>
      <c r="G94" s="2" t="s">
        <v>619</v>
      </c>
      <c r="H94" s="2" t="s">
        <v>620</v>
      </c>
      <c r="I94" s="2" t="s">
        <v>456</v>
      </c>
      <c r="J94" s="2" t="s">
        <v>87</v>
      </c>
      <c r="K94" s="2" t="s">
        <v>621</v>
      </c>
      <c r="L94" s="21">
        <v>46217</v>
      </c>
      <c r="M94" s="22">
        <f>IF(OR(S94="N/A",ISBLANK(S94),T94&lt;&gt;"Yes"),IF(OR(R94="Critical",R94="High"),L94+30,IF(R94="Moderate",L94+90,IF(R94="Low",L94+180,""))),IF(OR(S94="Critical",S94="High"),L94+30,IF(S94="Moderate",L94+90,IF(S94="Low",L94+180,""))))</f>
        <v>46307</v>
      </c>
      <c r="N94" s="21">
        <v>46293</v>
      </c>
      <c r="O94" s="2" t="s">
        <v>69</v>
      </c>
      <c r="P94" s="21"/>
      <c r="Q94" s="2"/>
      <c r="R94" s="2" t="s">
        <v>275</v>
      </c>
      <c r="S94" s="2"/>
      <c r="T94" s="2" t="s">
        <v>69</v>
      </c>
      <c r="U94" s="2" t="s">
        <v>69</v>
      </c>
      <c r="V94" s="2" t="s">
        <v>69</v>
      </c>
      <c r="W94" s="2"/>
      <c r="X94" s="2" t="s">
        <v>458</v>
      </c>
      <c r="Y94" s="2" t="s">
        <v>622</v>
      </c>
      <c r="Z94" s="2"/>
      <c r="AA94" s="21"/>
      <c r="AB94" s="2"/>
    </row>
    <row r="95" ht="12.75" customHeight="1">
      <c r="A95" s="2"/>
      <c r="B95" s="2" t="s">
        <v>623</v>
      </c>
      <c r="C95" s="2" t="s">
        <v>542</v>
      </c>
      <c r="D95" s="2" t="s">
        <v>624</v>
      </c>
      <c r="E95" s="2" t="s">
        <v>625</v>
      </c>
      <c r="F95" s="2" t="s">
        <v>453</v>
      </c>
      <c r="G95" s="2" t="s">
        <v>626</v>
      </c>
      <c r="H95" s="2" t="s">
        <v>627</v>
      </c>
      <c r="I95" s="2" t="s">
        <v>456</v>
      </c>
      <c r="J95" s="2" t="s">
        <v>87</v>
      </c>
      <c r="K95" s="2" t="s">
        <v>547</v>
      </c>
      <c r="L95" s="21">
        <v>46247</v>
      </c>
      <c r="M95" s="22">
        <f>IF(OR(S95="N/A",ISBLANK(S95),T95&lt;&gt;"Yes"),IF(OR(R95="Critical",R95="High"),L95+30,IF(R95="Moderate",L95+90,IF(R95="Low",L95+180,""))),IF(OR(S95="Critical",S95="High"),L95+30,IF(S95="Moderate",L95+90,IF(S95="Low",L95+180,""))))</f>
        <v>46277</v>
      </c>
      <c r="N95" s="21">
        <v>46293</v>
      </c>
      <c r="O95" s="2" t="s">
        <v>69</v>
      </c>
      <c r="P95" s="21"/>
      <c r="Q95" s="2"/>
      <c r="R95" s="2" t="s">
        <v>167</v>
      </c>
      <c r="S95" s="2"/>
      <c r="T95" s="2" t="s">
        <v>69</v>
      </c>
      <c r="U95" s="2" t="s">
        <v>69</v>
      </c>
      <c r="V95" s="2" t="s">
        <v>69</v>
      </c>
      <c r="W95" s="2"/>
      <c r="X95" s="2" t="s">
        <v>458</v>
      </c>
      <c r="Y95" s="2" t="s">
        <v>628</v>
      </c>
      <c r="Z95" s="2"/>
      <c r="AA95" s="21"/>
      <c r="AB95" s="2"/>
    </row>
    <row r="96" ht="12.75" customHeight="1">
      <c r="A96" s="2"/>
      <c r="B96" s="2" t="s">
        <v>629</v>
      </c>
      <c r="C96" s="2" t="s">
        <v>602</v>
      </c>
      <c r="D96" s="2" t="s">
        <v>630</v>
      </c>
      <c r="E96" s="2" t="s">
        <v>631</v>
      </c>
      <c r="F96" s="2" t="s">
        <v>453</v>
      </c>
      <c r="G96" s="2" t="s">
        <v>632</v>
      </c>
      <c r="H96" s="2" t="s">
        <v>627</v>
      </c>
      <c r="I96" s="2" t="s">
        <v>456</v>
      </c>
      <c r="J96" s="2" t="s">
        <v>87</v>
      </c>
      <c r="K96" s="2" t="s">
        <v>633</v>
      </c>
      <c r="L96" s="21">
        <v>46218</v>
      </c>
      <c r="M96" s="22">
        <f>IF(OR(S96="N/A",ISBLANK(S96),T96&lt;&gt;"Yes"),IF(OR(R96="Critical",R96="High"),L96+30,IF(R96="Moderate",L96+90,IF(R96="Low",L96+180,""))),IF(OR(S96="Critical",S96="High"),L96+30,IF(S96="Moderate",L96+90,IF(S96="Low",L96+180,""))))</f>
        <v>46308</v>
      </c>
      <c r="N96" s="21">
        <v>46293</v>
      </c>
      <c r="O96" s="2" t="s">
        <v>69</v>
      </c>
      <c r="P96" s="21"/>
      <c r="Q96" s="2"/>
      <c r="R96" s="2" t="s">
        <v>275</v>
      </c>
      <c r="S96" s="2"/>
      <c r="T96" s="2" t="s">
        <v>69</v>
      </c>
      <c r="U96" s="2" t="s">
        <v>69</v>
      </c>
      <c r="V96" s="2" t="s">
        <v>69</v>
      </c>
      <c r="W96" s="2"/>
      <c r="X96" s="2" t="s">
        <v>458</v>
      </c>
      <c r="Y96" s="2" t="s">
        <v>628</v>
      </c>
      <c r="Z96" s="2"/>
      <c r="AA96" s="21"/>
      <c r="AB96" s="2"/>
    </row>
    <row r="97" ht="12.75" customHeight="1">
      <c r="A97" s="2"/>
      <c r="B97" s="2" t="s">
        <v>634</v>
      </c>
      <c r="C97" s="2" t="s">
        <v>94</v>
      </c>
      <c r="D97" s="2" t="s">
        <v>635</v>
      </c>
      <c r="E97" s="2" t="s">
        <v>636</v>
      </c>
      <c r="F97" s="2" t="s">
        <v>453</v>
      </c>
      <c r="G97" s="2" t="s">
        <v>637</v>
      </c>
      <c r="H97" s="2" t="s">
        <v>638</v>
      </c>
      <c r="I97" s="2" t="s">
        <v>456</v>
      </c>
      <c r="J97" s="2" t="s">
        <v>87</v>
      </c>
      <c r="K97" s="2" t="s">
        <v>565</v>
      </c>
      <c r="L97" s="21">
        <v>46279</v>
      </c>
      <c r="M97" s="22">
        <f>IF(OR(S97="N/A",ISBLANK(S97),T97&lt;&gt;"Yes"),IF(OR(R97="Critical",R97="High"),L97+30,IF(R97="Moderate",L97+90,IF(R97="Low",L97+180,""))),IF(OR(S97="Critical",S97="High"),L97+30,IF(S97="Moderate",L97+90,IF(S97="Low",L97+180,""))))</f>
        <v>46309</v>
      </c>
      <c r="N97" s="21">
        <v>46293</v>
      </c>
      <c r="O97" s="2" t="s">
        <v>69</v>
      </c>
      <c r="P97" s="21"/>
      <c r="Q97" s="2"/>
      <c r="R97" s="2" t="s">
        <v>167</v>
      </c>
      <c r="S97" s="2"/>
      <c r="T97" s="2" t="s">
        <v>69</v>
      </c>
      <c r="U97" s="2" t="s">
        <v>69</v>
      </c>
      <c r="V97" s="2" t="s">
        <v>69</v>
      </c>
      <c r="W97" s="2"/>
      <c r="X97" s="2" t="s">
        <v>458</v>
      </c>
      <c r="Y97" s="2" t="s">
        <v>639</v>
      </c>
      <c r="Z97" s="2"/>
      <c r="AA97" s="21"/>
      <c r="AB97" s="2" t="s">
        <v>637</v>
      </c>
    </row>
    <row r="98" ht="12.75" customHeight="1">
      <c r="A98" s="2"/>
      <c r="B98" s="2" t="s">
        <v>640</v>
      </c>
      <c r="C98" s="2" t="s">
        <v>602</v>
      </c>
      <c r="D98" s="2" t="s">
        <v>641</v>
      </c>
      <c r="E98" s="2" t="s">
        <v>642</v>
      </c>
      <c r="F98" s="2" t="s">
        <v>453</v>
      </c>
      <c r="G98" s="2" t="s">
        <v>643</v>
      </c>
      <c r="H98" s="2" t="s">
        <v>638</v>
      </c>
      <c r="I98" s="2" t="s">
        <v>456</v>
      </c>
      <c r="J98" s="2" t="s">
        <v>87</v>
      </c>
      <c r="K98" s="2" t="s">
        <v>644</v>
      </c>
      <c r="L98" s="21">
        <v>46219</v>
      </c>
      <c r="M98" s="22">
        <f>IF(OR(S98="N/A",ISBLANK(S98),T98&lt;&gt;"Yes"),IF(OR(R98="Critical",R98="High"),L98+30,IF(R98="Moderate",L98+90,IF(R98="Low",L98+180,""))),IF(OR(S98="Critical",S98="High"),L98+30,IF(S98="Moderate",L98+90,IF(S98="Low",L98+180,""))))</f>
        <v>46309</v>
      </c>
      <c r="N98" s="21">
        <v>46293</v>
      </c>
      <c r="O98" s="2" t="s">
        <v>69</v>
      </c>
      <c r="P98" s="21"/>
      <c r="Q98" s="2"/>
      <c r="R98" s="2" t="s">
        <v>275</v>
      </c>
      <c r="S98" s="2"/>
      <c r="T98" s="2" t="s">
        <v>69</v>
      </c>
      <c r="U98" s="2" t="s">
        <v>69</v>
      </c>
      <c r="V98" s="2" t="s">
        <v>69</v>
      </c>
      <c r="W98" s="2"/>
      <c r="X98" s="2" t="s">
        <v>458</v>
      </c>
      <c r="Y98" s="2" t="s">
        <v>639</v>
      </c>
      <c r="Z98" s="2"/>
      <c r="AA98" s="21"/>
      <c r="AB98" s="2"/>
    </row>
    <row r="99" ht="12.75" customHeight="1">
      <c r="A99" s="2"/>
      <c r="B99" s="2" t="s">
        <v>645</v>
      </c>
      <c r="C99" s="2" t="s">
        <v>94</v>
      </c>
      <c r="D99" s="2" t="s">
        <v>646</v>
      </c>
      <c r="E99" s="2" t="s">
        <v>647</v>
      </c>
      <c r="F99" s="2" t="s">
        <v>453</v>
      </c>
      <c r="G99" s="2" t="s">
        <v>648</v>
      </c>
      <c r="H99" s="2" t="s">
        <v>649</v>
      </c>
      <c r="I99" s="2" t="s">
        <v>456</v>
      </c>
      <c r="J99" s="2" t="s">
        <v>87</v>
      </c>
      <c r="K99" s="2" t="s">
        <v>650</v>
      </c>
      <c r="L99" s="21">
        <v>46218</v>
      </c>
      <c r="M99" s="22">
        <f>IF(OR(S99="N/A",ISBLANK(S99),T99&lt;&gt;"Yes"),IF(OR(R99="Critical",R99="High"),L99+30,IF(R99="Moderate",L99+90,IF(R99="Low",L99+180,""))),IF(OR(S99="Critical",S99="High"),L99+30,IF(S99="Moderate",L99+90,IF(S99="Low",L99+180,""))))</f>
        <v>46248</v>
      </c>
      <c r="N99" s="21">
        <v>46293</v>
      </c>
      <c r="O99" s="2" t="s">
        <v>69</v>
      </c>
      <c r="P99" s="21"/>
      <c r="Q99" s="2"/>
      <c r="R99" s="2" t="s">
        <v>167</v>
      </c>
      <c r="S99" s="2"/>
      <c r="T99" s="2" t="s">
        <v>69</v>
      </c>
      <c r="U99" s="2" t="s">
        <v>69</v>
      </c>
      <c r="V99" s="2" t="s">
        <v>69</v>
      </c>
      <c r="W99" s="2"/>
      <c r="X99" s="2" t="s">
        <v>458</v>
      </c>
      <c r="Y99" s="2" t="s">
        <v>651</v>
      </c>
      <c r="Z99" s="2"/>
      <c r="AA99" s="21"/>
      <c r="AB99" s="2" t="s">
        <v>648</v>
      </c>
    </row>
    <row r="100" ht="12.75" customHeight="1">
      <c r="A100" s="2"/>
      <c r="B100" s="2" t="s">
        <v>652</v>
      </c>
      <c r="C100" s="2" t="s">
        <v>461</v>
      </c>
      <c r="D100" s="2" t="s">
        <v>653</v>
      </c>
      <c r="E100" s="2" t="s">
        <v>654</v>
      </c>
      <c r="F100" s="2" t="s">
        <v>453</v>
      </c>
      <c r="G100" s="2" t="s">
        <v>655</v>
      </c>
      <c r="H100" s="2" t="s">
        <v>649</v>
      </c>
      <c r="I100" s="2" t="s">
        <v>456</v>
      </c>
      <c r="J100" s="2" t="s">
        <v>87</v>
      </c>
      <c r="K100" s="2" t="s">
        <v>656</v>
      </c>
      <c r="L100" s="21">
        <v>46220</v>
      </c>
      <c r="M100" s="22">
        <f>IF(OR(S100="N/A",ISBLANK(S100),T100&lt;&gt;"Yes"),IF(OR(R100="Critical",R100="High"),L100+30,IF(R100="Moderate",L100+90,IF(R100="Low",L100+180,""))),IF(OR(S100="Critical",S100="High"),L100+30,IF(S100="Moderate",L100+90,IF(S100="Low",L100+180,""))))</f>
        <v>46400</v>
      </c>
      <c r="N100" s="21">
        <v>46293</v>
      </c>
      <c r="O100" s="2" t="s">
        <v>69</v>
      </c>
      <c r="P100" s="21"/>
      <c r="Q100" s="2"/>
      <c r="R100" s="2" t="s">
        <v>378</v>
      </c>
      <c r="S100" s="2"/>
      <c r="T100" s="2" t="s">
        <v>69</v>
      </c>
      <c r="U100" s="2" t="s">
        <v>69</v>
      </c>
      <c r="V100" s="2" t="s">
        <v>69</v>
      </c>
      <c r="W100" s="2"/>
      <c r="X100" s="2" t="s">
        <v>458</v>
      </c>
      <c r="Y100" s="2" t="s">
        <v>651</v>
      </c>
      <c r="Z100" s="2"/>
      <c r="AA100" s="21"/>
      <c r="AB100" s="2" t="s">
        <v>655</v>
      </c>
    </row>
    <row r="101" ht="12.75" customHeight="1">
      <c r="A101" s="2"/>
      <c r="B101" s="2" t="s">
        <v>657</v>
      </c>
      <c r="C101" s="2" t="s">
        <v>101</v>
      </c>
      <c r="D101" s="2" t="s">
        <v>658</v>
      </c>
      <c r="E101" s="2" t="s">
        <v>659</v>
      </c>
      <c r="F101" s="2" t="s">
        <v>453</v>
      </c>
      <c r="G101" s="2" t="s">
        <v>660</v>
      </c>
      <c r="H101" s="2" t="s">
        <v>661</v>
      </c>
      <c r="I101" s="2" t="s">
        <v>456</v>
      </c>
      <c r="J101" s="2" t="s">
        <v>87</v>
      </c>
      <c r="K101" s="2" t="s">
        <v>482</v>
      </c>
      <c r="L101" s="21">
        <v>46250</v>
      </c>
      <c r="M101" s="22">
        <f>IF(OR(S101="N/A",ISBLANK(S101),T101&lt;&gt;"Yes"),IF(OR(R101="Critical",R101="High"),L101+30,IF(R101="Moderate",L101+90,IF(R101="Low",L101+180,""))),IF(OR(S101="Critical",S101="High"),L101+30,IF(S101="Moderate",L101+90,IF(S101="Low",L101+180,""))))</f>
        <v>46280</v>
      </c>
      <c r="N101" s="21">
        <v>46293</v>
      </c>
      <c r="O101" s="2" t="s">
        <v>69</v>
      </c>
      <c r="P101" s="21"/>
      <c r="Q101" s="2"/>
      <c r="R101" s="2" t="s">
        <v>167</v>
      </c>
      <c r="S101" s="2"/>
      <c r="T101" s="2" t="s">
        <v>69</v>
      </c>
      <c r="U101" s="2" t="s">
        <v>69</v>
      </c>
      <c r="V101" s="2" t="s">
        <v>69</v>
      </c>
      <c r="W101" s="2"/>
      <c r="X101" s="2" t="s">
        <v>458</v>
      </c>
      <c r="Y101" s="2" t="s">
        <v>662</v>
      </c>
      <c r="Z101" s="2"/>
      <c r="AA101" s="21"/>
      <c r="AB101" s="2" t="s">
        <v>660</v>
      </c>
    </row>
    <row r="102" ht="12.75" customHeight="1">
      <c r="A102" s="2"/>
      <c r="B102" s="2" t="s">
        <v>663</v>
      </c>
      <c r="C102" s="2" t="s">
        <v>461</v>
      </c>
      <c r="D102" s="2" t="s">
        <v>664</v>
      </c>
      <c r="E102" s="2" t="s">
        <v>665</v>
      </c>
      <c r="F102" s="2" t="s">
        <v>453</v>
      </c>
      <c r="G102" s="2" t="s">
        <v>666</v>
      </c>
      <c r="H102" s="2" t="s">
        <v>661</v>
      </c>
      <c r="I102" s="2" t="s">
        <v>456</v>
      </c>
      <c r="J102" s="2" t="s">
        <v>87</v>
      </c>
      <c r="K102" s="2" t="s">
        <v>667</v>
      </c>
      <c r="L102" s="21">
        <v>46221</v>
      </c>
      <c r="M102" s="22">
        <f>IF(OR(S102="N/A",ISBLANK(S102),T102&lt;&gt;"Yes"),IF(OR(R102="Critical",R102="High"),L102+30,IF(R102="Moderate",L102+90,IF(R102="Low",L102+180,""))),IF(OR(S102="Critical",S102="High"),L102+30,IF(S102="Moderate",L102+90,IF(S102="Low",L102+180,""))))</f>
        <v>46401</v>
      </c>
      <c r="N102" s="21">
        <v>46293</v>
      </c>
      <c r="O102" s="2" t="s">
        <v>69</v>
      </c>
      <c r="P102" s="21"/>
      <c r="Q102" s="2"/>
      <c r="R102" s="2" t="s">
        <v>378</v>
      </c>
      <c r="S102" s="2"/>
      <c r="T102" s="2" t="s">
        <v>69</v>
      </c>
      <c r="U102" s="2" t="s">
        <v>69</v>
      </c>
      <c r="V102" s="2" t="s">
        <v>69</v>
      </c>
      <c r="W102" s="2"/>
      <c r="X102" s="2" t="s">
        <v>458</v>
      </c>
      <c r="Y102" s="2" t="s">
        <v>662</v>
      </c>
      <c r="Z102" s="2"/>
      <c r="AA102" s="21"/>
      <c r="AB102" s="2" t="s">
        <v>666</v>
      </c>
    </row>
    <row r="103" ht="12.75" customHeight="1">
      <c r="A103" s="2"/>
      <c r="B103" s="2" t="s">
        <v>668</v>
      </c>
      <c r="C103" s="2" t="s">
        <v>94</v>
      </c>
      <c r="D103" s="2" t="s">
        <v>669</v>
      </c>
      <c r="E103" s="2" t="s">
        <v>670</v>
      </c>
      <c r="F103" s="2" t="s">
        <v>453</v>
      </c>
      <c r="G103" s="2" t="s">
        <v>671</v>
      </c>
      <c r="H103" s="2" t="s">
        <v>672</v>
      </c>
      <c r="I103" s="2" t="s">
        <v>456</v>
      </c>
      <c r="J103" s="2" t="s">
        <v>87</v>
      </c>
      <c r="K103" s="2" t="s">
        <v>502</v>
      </c>
      <c r="L103" s="21">
        <v>46282</v>
      </c>
      <c r="M103" s="22">
        <f>IF(OR(S103="N/A",ISBLANK(S103),T103&lt;&gt;"Yes"),IF(OR(R103="Critical",R103="High"),L103+30,IF(R103="Moderate",L103+90,IF(R103="Low",L103+180,""))),IF(OR(S103="Critical",S103="High"),L103+30,IF(S103="Moderate",L103+90,IF(S103="Low",L103+180,""))))</f>
        <v>46312</v>
      </c>
      <c r="N103" s="21">
        <v>46293</v>
      </c>
      <c r="O103" s="2" t="s">
        <v>69</v>
      </c>
      <c r="P103" s="21"/>
      <c r="Q103" s="2"/>
      <c r="R103" s="2" t="s">
        <v>167</v>
      </c>
      <c r="S103" s="2"/>
      <c r="T103" s="2" t="s">
        <v>69</v>
      </c>
      <c r="U103" s="2" t="s">
        <v>69</v>
      </c>
      <c r="V103" s="2" t="s">
        <v>69</v>
      </c>
      <c r="W103" s="2"/>
      <c r="X103" s="2" t="s">
        <v>458</v>
      </c>
      <c r="Y103" s="2" t="s">
        <v>673</v>
      </c>
      <c r="Z103" s="2"/>
      <c r="AA103" s="21"/>
      <c r="AB103" s="2" t="s">
        <v>671</v>
      </c>
    </row>
    <row r="104" ht="12.75" customHeight="1">
      <c r="A104" s="2"/>
      <c r="B104" s="2" t="s">
        <v>674</v>
      </c>
      <c r="C104" s="2" t="s">
        <v>94</v>
      </c>
      <c r="D104" s="2" t="s">
        <v>675</v>
      </c>
      <c r="E104" s="2" t="s">
        <v>676</v>
      </c>
      <c r="F104" s="2" t="s">
        <v>453</v>
      </c>
      <c r="G104" s="2" t="s">
        <v>677</v>
      </c>
      <c r="H104" s="2" t="s">
        <v>678</v>
      </c>
      <c r="I104" s="2" t="s">
        <v>456</v>
      </c>
      <c r="J104" s="2" t="s">
        <v>87</v>
      </c>
      <c r="K104" s="2" t="s">
        <v>679</v>
      </c>
      <c r="L104" s="21">
        <v>46221</v>
      </c>
      <c r="M104" s="22">
        <f>IF(OR(S104="N/A",ISBLANK(S104),T104&lt;&gt;"Yes"),IF(OR(R104="Critical",R104="High"),L104+30,IF(R104="Moderate",L104+90,IF(R104="Low",L104+180,""))),IF(OR(S104="Critical",S104="High"),L104+30,IF(S104="Moderate",L104+90,IF(S104="Low",L104+180,""))))</f>
        <v>46251</v>
      </c>
      <c r="N104" s="21">
        <v>46293</v>
      </c>
      <c r="O104" s="2" t="s">
        <v>69</v>
      </c>
      <c r="P104" s="21"/>
      <c r="Q104" s="2"/>
      <c r="R104" s="2" t="s">
        <v>167</v>
      </c>
      <c r="S104" s="2"/>
      <c r="T104" s="2" t="s">
        <v>69</v>
      </c>
      <c r="U104" s="2" t="s">
        <v>69</v>
      </c>
      <c r="V104" s="2" t="s">
        <v>69</v>
      </c>
      <c r="W104" s="2"/>
      <c r="X104" s="2" t="s">
        <v>458</v>
      </c>
      <c r="Y104" s="2" t="s">
        <v>680</v>
      </c>
      <c r="Z104" s="2"/>
      <c r="AA104" s="21"/>
      <c r="AB104" s="2" t="s">
        <v>677</v>
      </c>
    </row>
    <row r="105" ht="12.75" customHeight="1">
      <c r="A105" s="2"/>
      <c r="B105" s="2"/>
      <c r="C105" s="2"/>
      <c r="D105" s="2"/>
      <c r="E105" s="2"/>
      <c r="F105" s="2"/>
      <c r="G105" s="2"/>
      <c r="H105" s="2"/>
      <c r="I105" s="2"/>
      <c r="J105" s="2"/>
      <c r="K105" s="2"/>
      <c r="L105" s="21"/>
      <c r="M105" s="22">
        <f>IF(OR(S105="N/A",ISBLANK(S105),T105&lt;&gt;"Yes"),IF(OR(R105="Critical",R105="High"),L105+30,IF(R105="Moderate",L105+90,IF(R105="Low",L105+180,""))),IF(OR(S105="Critical",S105="High"),L105+30,IF(S105="Moderate",L105+90,IF(S105="Low",L105+180,""))))</f>
      </c>
      <c r="N105" s="21"/>
      <c r="O105" s="2"/>
      <c r="P105" s="21"/>
      <c r="Q105" s="2"/>
      <c r="R105" s="2"/>
      <c r="S105" s="2"/>
      <c r="T105" s="2"/>
      <c r="U105" s="2"/>
      <c r="V105" s="2"/>
      <c r="W105" s="2"/>
      <c r="X105" s="2"/>
      <c r="Y105" s="2"/>
      <c r="Z105" s="2"/>
      <c r="AA105" s="21"/>
      <c r="AB105" s="2"/>
    </row>
    <row r="106" ht="12.75" customHeight="1">
      <c r="A106" s="2"/>
      <c r="B106" s="2"/>
      <c r="C106" s="2"/>
      <c r="D106" s="2"/>
      <c r="E106" s="2"/>
      <c r="F106" s="2"/>
      <c r="G106" s="2"/>
      <c r="H106" s="2"/>
      <c r="I106" s="2"/>
      <c r="J106" s="2"/>
      <c r="K106" s="2"/>
      <c r="L106" s="21"/>
      <c r="M106" s="22">
        <f>IF(OR(S106="N/A",ISBLANK(S106),T106&lt;&gt;"Yes"),IF(OR(R106="Critical",R106="High"),L106+30,IF(R106="Moderate",L106+90,IF(R106="Low",L106+180,""))),IF(OR(S106="Critical",S106="High"),L106+30,IF(S106="Moderate",L106+90,IF(S106="Low",L106+180,""))))</f>
      </c>
      <c r="N106" s="21"/>
      <c r="O106" s="2"/>
      <c r="P106" s="21"/>
      <c r="Q106" s="2"/>
      <c r="R106" s="2"/>
      <c r="S106" s="2"/>
      <c r="T106" s="2"/>
      <c r="U106" s="2"/>
      <c r="V106" s="2"/>
      <c r="W106" s="2"/>
      <c r="X106" s="2"/>
      <c r="Y106" s="2"/>
      <c r="Z106" s="2"/>
      <c r="AA106" s="21"/>
      <c r="AB106" s="2"/>
    </row>
    <row r="107" ht="12.75" customHeight="1">
      <c r="A107" s="2"/>
      <c r="B107" s="2"/>
      <c r="C107" s="2"/>
      <c r="D107" s="2"/>
      <c r="E107" s="2"/>
      <c r="F107" s="2"/>
      <c r="G107" s="2"/>
      <c r="H107" s="2"/>
      <c r="I107" s="2"/>
      <c r="J107" s="2"/>
      <c r="K107" s="2"/>
      <c r="L107" s="21"/>
      <c r="M107" s="22">
        <f>IF(OR(S107="N/A",ISBLANK(S107),T107&lt;&gt;"Yes"),IF(OR(R107="Critical",R107="High"),L107+30,IF(R107="Moderate",L107+90,IF(R107="Low",L107+180,""))),IF(OR(S107="Critical",S107="High"),L107+30,IF(S107="Moderate",L107+90,IF(S107="Low",L107+180,""))))</f>
      </c>
      <c r="N107" s="21"/>
      <c r="O107" s="2"/>
      <c r="P107" s="21"/>
      <c r="Q107" s="2"/>
      <c r="R107" s="2"/>
      <c r="S107" s="2"/>
      <c r="T107" s="2"/>
      <c r="U107" s="2"/>
      <c r="V107" s="2"/>
      <c r="W107" s="2"/>
      <c r="X107" s="2"/>
      <c r="Y107" s="2"/>
      <c r="Z107" s="2"/>
      <c r="AA107" s="21"/>
      <c r="AB107" s="2"/>
    </row>
    <row r="108" ht="12.75" customHeight="1">
      <c r="A108" s="2"/>
      <c r="B108" s="2"/>
      <c r="C108" s="2"/>
      <c r="D108" s="2"/>
      <c r="E108" s="2"/>
      <c r="F108" s="2"/>
      <c r="G108" s="2"/>
      <c r="H108" s="2"/>
      <c r="I108" s="2"/>
      <c r="J108" s="2"/>
      <c r="K108" s="2"/>
      <c r="L108" s="21"/>
      <c r="M108" s="22">
        <f>IF(OR(S108="N/A",ISBLANK(S108),T108&lt;&gt;"Yes"),IF(OR(R108="Critical",R108="High"),L108+30,IF(R108="Moderate",L108+90,IF(R108="Low",L108+180,""))),IF(OR(S108="Critical",S108="High"),L108+30,IF(S108="Moderate",L108+90,IF(S108="Low",L108+180,""))))</f>
      </c>
      <c r="N108" s="21"/>
      <c r="O108" s="2"/>
      <c r="P108" s="21"/>
      <c r="Q108" s="2"/>
      <c r="R108" s="2"/>
      <c r="S108" s="2"/>
      <c r="T108" s="2"/>
      <c r="U108" s="2"/>
      <c r="V108" s="2"/>
      <c r="W108" s="2"/>
      <c r="X108" s="2"/>
      <c r="Y108" s="2"/>
      <c r="Z108" s="2"/>
      <c r="AA108" s="21"/>
      <c r="AB108" s="2"/>
    </row>
    <row r="109" ht="12.75" customHeight="1">
      <c r="A109" s="2"/>
      <c r="B109" s="2"/>
      <c r="C109" s="2"/>
      <c r="D109" s="2"/>
      <c r="E109" s="2"/>
      <c r="F109" s="2"/>
      <c r="G109" s="2"/>
      <c r="H109" s="2"/>
      <c r="I109" s="2"/>
      <c r="J109" s="2"/>
      <c r="K109" s="2"/>
      <c r="L109" s="21"/>
      <c r="M109" s="22">
        <f>IF(OR(S109="N/A",ISBLANK(S109),T109&lt;&gt;"Yes"),IF(OR(R109="Critical",R109="High"),L109+30,IF(R109="Moderate",L109+90,IF(R109="Low",L109+180,""))),IF(OR(S109="Critical",S109="High"),L109+30,IF(S109="Moderate",L109+90,IF(S109="Low",L109+180,""))))</f>
      </c>
      <c r="N109" s="21"/>
      <c r="O109" s="2"/>
      <c r="P109" s="21"/>
      <c r="Q109" s="2"/>
      <c r="R109" s="2"/>
      <c r="S109" s="2"/>
      <c r="T109" s="2"/>
      <c r="U109" s="2"/>
      <c r="V109" s="2"/>
      <c r="W109" s="2"/>
      <c r="X109" s="2"/>
      <c r="Y109" s="2"/>
      <c r="Z109" s="2"/>
      <c r="AA109" s="21"/>
      <c r="AB109" s="2"/>
    </row>
    <row r="110" ht="12.75" customHeight="1">
      <c r="A110" s="2"/>
      <c r="B110" s="2"/>
      <c r="C110" s="2"/>
      <c r="D110" s="2"/>
      <c r="E110" s="2"/>
      <c r="F110" s="2"/>
      <c r="G110" s="2"/>
      <c r="H110" s="2"/>
      <c r="I110" s="2"/>
      <c r="J110" s="2"/>
      <c r="K110" s="2"/>
      <c r="L110" s="21"/>
      <c r="M110" s="22">
        <f>IF(OR(S110="N/A",ISBLANK(S110),T110&lt;&gt;"Yes"),IF(OR(R110="Critical",R110="High"),L110+30,IF(R110="Moderate",L110+90,IF(R110="Low",L110+180,""))),IF(OR(S110="Critical",S110="High"),L110+30,IF(S110="Moderate",L110+90,IF(S110="Low",L110+180,""))))</f>
      </c>
      <c r="N110" s="21"/>
      <c r="O110" s="2"/>
      <c r="P110" s="21"/>
      <c r="Q110" s="2"/>
      <c r="R110" s="2"/>
      <c r="S110" s="2"/>
      <c r="T110" s="2"/>
      <c r="U110" s="2"/>
      <c r="V110" s="2"/>
      <c r="W110" s="2"/>
      <c r="X110" s="2"/>
      <c r="Y110" s="2"/>
      <c r="Z110" s="2"/>
      <c r="AA110" s="21"/>
      <c r="AB110" s="2"/>
    </row>
    <row r="111" ht="12.75" customHeight="1">
      <c r="A111" s="2"/>
      <c r="B111" s="2"/>
      <c r="C111" s="2"/>
      <c r="D111" s="2"/>
      <c r="E111" s="2"/>
      <c r="F111" s="2"/>
      <c r="G111" s="2"/>
      <c r="H111" s="2"/>
      <c r="I111" s="2"/>
      <c r="J111" s="2"/>
      <c r="K111" s="2"/>
      <c r="L111" s="21"/>
      <c r="M111" s="22">
        <f>IF(OR(S111="N/A",ISBLANK(S111),T111&lt;&gt;"Yes"),IF(OR(R111="Critical",R111="High"),L111+30,IF(R111="Moderate",L111+90,IF(R111="Low",L111+180,""))),IF(OR(S111="Critical",S111="High"),L111+30,IF(S111="Moderate",L111+90,IF(S111="Low",L111+180,""))))</f>
      </c>
      <c r="N111" s="21"/>
      <c r="O111" s="2"/>
      <c r="P111" s="21"/>
      <c r="Q111" s="2"/>
      <c r="R111" s="2"/>
      <c r="S111" s="2"/>
      <c r="T111" s="2"/>
      <c r="U111" s="2"/>
      <c r="V111" s="2"/>
      <c r="W111" s="2"/>
      <c r="X111" s="2"/>
      <c r="Y111" s="2"/>
      <c r="Z111" s="2"/>
      <c r="AA111" s="21"/>
      <c r="AB111" s="2"/>
    </row>
    <row r="112" ht="12.75" customHeight="1">
      <c r="A112" s="2"/>
      <c r="B112" s="2"/>
      <c r="C112" s="2"/>
      <c r="D112" s="2"/>
      <c r="E112" s="2"/>
      <c r="F112" s="2"/>
      <c r="G112" s="2"/>
      <c r="H112" s="2"/>
      <c r="I112" s="2"/>
      <c r="J112" s="2"/>
      <c r="K112" s="2"/>
      <c r="L112" s="21"/>
      <c r="M112" s="22">
        <f>IF(OR(S112="N/A",ISBLANK(S112),T112&lt;&gt;"Yes"),IF(OR(R112="Critical",R112="High"),L112+30,IF(R112="Moderate",L112+90,IF(R112="Low",L112+180,""))),IF(OR(S112="Critical",S112="High"),L112+30,IF(S112="Moderate",L112+90,IF(S112="Low",L112+180,""))))</f>
      </c>
      <c r="N112" s="21"/>
      <c r="O112" s="2"/>
      <c r="P112" s="21"/>
      <c r="Q112" s="2"/>
      <c r="R112" s="2"/>
      <c r="S112" s="2"/>
      <c r="T112" s="2"/>
      <c r="U112" s="2"/>
      <c r="V112" s="2"/>
      <c r="W112" s="2"/>
      <c r="X112" s="2"/>
      <c r="Y112" s="2"/>
      <c r="Z112" s="2"/>
      <c r="AA112" s="21"/>
      <c r="AB112" s="2"/>
    </row>
    <row r="113" ht="12.75" customHeight="1">
      <c r="A113" s="2"/>
      <c r="B113" s="2"/>
      <c r="C113" s="2"/>
      <c r="D113" s="2"/>
      <c r="E113" s="2"/>
      <c r="F113" s="2"/>
      <c r="G113" s="2"/>
      <c r="H113" s="2"/>
      <c r="I113" s="2"/>
      <c r="J113" s="2"/>
      <c r="K113" s="2"/>
      <c r="L113" s="21"/>
      <c r="M113" s="22">
        <f>IF(OR(S113="N/A",ISBLANK(S113),T113&lt;&gt;"Yes"),IF(OR(R113="Critical",R113="High"),L113+30,IF(R113="Moderate",L113+90,IF(R113="Low",L113+180,""))),IF(OR(S113="Critical",S113="High"),L113+30,IF(S113="Moderate",L113+90,IF(S113="Low",L113+180,""))))</f>
      </c>
      <c r="N113" s="21"/>
      <c r="O113" s="2"/>
      <c r="P113" s="21"/>
      <c r="Q113" s="2"/>
      <c r="R113" s="2"/>
      <c r="S113" s="2"/>
      <c r="T113" s="2"/>
      <c r="U113" s="2"/>
      <c r="V113" s="2"/>
      <c r="W113" s="2"/>
      <c r="X113" s="2"/>
      <c r="Y113" s="2"/>
      <c r="Z113" s="2"/>
      <c r="AA113" s="21"/>
      <c r="AB113" s="2"/>
    </row>
    <row r="114" ht="12.75" customHeight="1">
      <c r="A114" s="2"/>
      <c r="B114" s="2"/>
      <c r="C114" s="2"/>
      <c r="D114" s="2"/>
      <c r="E114" s="2"/>
      <c r="F114" s="2"/>
      <c r="G114" s="2"/>
      <c r="H114" s="2"/>
      <c r="I114" s="2"/>
      <c r="J114" s="2"/>
      <c r="K114" s="2"/>
      <c r="L114" s="21"/>
      <c r="M114" s="22">
        <f>IF(OR(S114="N/A",ISBLANK(S114),T114&lt;&gt;"Yes"),IF(OR(R114="Critical",R114="High"),L114+30,IF(R114="Moderate",L114+90,IF(R114="Low",L114+180,""))),IF(OR(S114="Critical",S114="High"),L114+30,IF(S114="Moderate",L114+90,IF(S114="Low",L114+180,""))))</f>
      </c>
      <c r="N114" s="21"/>
      <c r="O114" s="2"/>
      <c r="P114" s="21"/>
      <c r="Q114" s="2"/>
      <c r="R114" s="2"/>
      <c r="S114" s="2"/>
      <c r="T114" s="2"/>
      <c r="U114" s="2"/>
      <c r="V114" s="2"/>
      <c r="W114" s="2"/>
      <c r="X114" s="2"/>
      <c r="Y114" s="2"/>
      <c r="Z114" s="2"/>
      <c r="AA114" s="21"/>
      <c r="AB114" s="2"/>
    </row>
    <row r="115" ht="12.75" customHeight="1">
      <c r="A115" s="2"/>
      <c r="B115" s="2"/>
      <c r="C115" s="2"/>
      <c r="D115" s="2"/>
      <c r="E115" s="2"/>
      <c r="F115" s="2"/>
      <c r="G115" s="2"/>
      <c r="H115" s="2"/>
      <c r="I115" s="2"/>
      <c r="J115" s="2"/>
      <c r="K115" s="2"/>
      <c r="L115" s="21"/>
      <c r="M115" s="22">
        <f>IF(OR(S115="N/A",ISBLANK(S115),T115&lt;&gt;"Yes"),IF(OR(R115="Critical",R115="High"),L115+30,IF(R115="Moderate",L115+90,IF(R115="Low",L115+180,""))),IF(OR(S115="Critical",S115="High"),L115+30,IF(S115="Moderate",L115+90,IF(S115="Low",L115+180,""))))</f>
      </c>
      <c r="N115" s="21"/>
      <c r="O115" s="2"/>
      <c r="P115" s="21"/>
      <c r="Q115" s="2"/>
      <c r="R115" s="2"/>
      <c r="S115" s="2"/>
      <c r="T115" s="2"/>
      <c r="U115" s="2"/>
      <c r="V115" s="2"/>
      <c r="W115" s="2"/>
      <c r="X115" s="2"/>
      <c r="Y115" s="2"/>
      <c r="Z115" s="2"/>
      <c r="AA115" s="21"/>
      <c r="AB115" s="2"/>
    </row>
    <row r="116" ht="12.75" customHeight="1">
      <c r="A116" s="2"/>
      <c r="B116" s="2"/>
      <c r="C116" s="2"/>
      <c r="D116" s="2"/>
      <c r="E116" s="2"/>
      <c r="F116" s="2"/>
      <c r="G116" s="2"/>
      <c r="H116" s="2"/>
      <c r="I116" s="2"/>
      <c r="J116" s="2"/>
      <c r="K116" s="2"/>
      <c r="L116" s="21"/>
      <c r="M116" s="22">
        <f>IF(OR(S116="N/A",ISBLANK(S116),T116&lt;&gt;"Yes"),IF(OR(R116="Critical",R116="High"),L116+30,IF(R116="Moderate",L116+90,IF(R116="Low",L116+180,""))),IF(OR(S116="Critical",S116="High"),L116+30,IF(S116="Moderate",L116+90,IF(S116="Low",L116+180,""))))</f>
      </c>
      <c r="N116" s="21"/>
      <c r="O116" s="2"/>
      <c r="P116" s="21"/>
      <c r="Q116" s="2"/>
      <c r="R116" s="2"/>
      <c r="S116" s="2"/>
      <c r="T116" s="2"/>
      <c r="U116" s="2"/>
      <c r="V116" s="2"/>
      <c r="W116" s="2"/>
      <c r="X116" s="2"/>
      <c r="Y116" s="2"/>
      <c r="Z116" s="2"/>
      <c r="AA116" s="21"/>
      <c r="AB116" s="2"/>
    </row>
    <row r="117" ht="12.75" customHeight="1">
      <c r="A117" s="2"/>
      <c r="B117" s="2"/>
      <c r="C117" s="2"/>
      <c r="D117" s="2"/>
      <c r="E117" s="2"/>
      <c r="F117" s="2"/>
      <c r="G117" s="2"/>
      <c r="H117" s="2"/>
      <c r="I117" s="2"/>
      <c r="J117" s="2"/>
      <c r="K117" s="2"/>
      <c r="L117" s="21"/>
      <c r="M117" s="22">
        <f>IF(OR(S117="N/A",ISBLANK(S117),T117&lt;&gt;"Yes"),IF(OR(R117="Critical",R117="High"),L117+30,IF(R117="Moderate",L117+90,IF(R117="Low",L117+180,""))),IF(OR(S117="Critical",S117="High"),L117+30,IF(S117="Moderate",L117+90,IF(S117="Low",L117+180,""))))</f>
      </c>
      <c r="N117" s="21"/>
      <c r="O117" s="2"/>
      <c r="P117" s="21"/>
      <c r="Q117" s="2"/>
      <c r="R117" s="2"/>
      <c r="S117" s="2"/>
      <c r="T117" s="2"/>
      <c r="U117" s="2"/>
      <c r="V117" s="2"/>
      <c r="W117" s="2"/>
      <c r="X117" s="2"/>
      <c r="Y117" s="2"/>
      <c r="Z117" s="2"/>
      <c r="AA117" s="21"/>
      <c r="AB117" s="2"/>
    </row>
    <row r="118" ht="12.75" customHeight="1">
      <c r="A118" s="2"/>
      <c r="B118" s="2"/>
      <c r="C118" s="2"/>
      <c r="D118" s="2"/>
      <c r="E118" s="2"/>
      <c r="F118" s="2"/>
      <c r="G118" s="2"/>
      <c r="H118" s="2"/>
      <c r="I118" s="2"/>
      <c r="J118" s="2"/>
      <c r="K118" s="2"/>
      <c r="L118" s="21"/>
      <c r="M118" s="22">
        <f>IF(OR(S118="N/A",ISBLANK(S118),T118&lt;&gt;"Yes"),IF(OR(R118="Critical",R118="High"),L118+30,IF(R118="Moderate",L118+90,IF(R118="Low",L118+180,""))),IF(OR(S118="Critical",S118="High"),L118+30,IF(S118="Moderate",L118+90,IF(S118="Low",L118+180,""))))</f>
      </c>
      <c r="N118" s="21"/>
      <c r="O118" s="2"/>
      <c r="P118" s="21"/>
      <c r="Q118" s="2"/>
      <c r="R118" s="2"/>
      <c r="S118" s="2"/>
      <c r="T118" s="2"/>
      <c r="U118" s="2"/>
      <c r="V118" s="2"/>
      <c r="W118" s="2"/>
      <c r="X118" s="2"/>
      <c r="Y118" s="2"/>
      <c r="Z118" s="2"/>
      <c r="AA118" s="21"/>
      <c r="AB118" s="2"/>
    </row>
    <row r="119" ht="12.75" customHeight="1">
      <c r="A119" s="2"/>
      <c r="B119" s="2"/>
      <c r="C119" s="2"/>
      <c r="D119" s="2"/>
      <c r="E119" s="2"/>
      <c r="F119" s="2"/>
      <c r="G119" s="2"/>
      <c r="H119" s="2"/>
      <c r="I119" s="2"/>
      <c r="J119" s="2"/>
      <c r="K119" s="2"/>
      <c r="L119" s="21"/>
      <c r="M119" s="22">
        <f>IF(OR(S119="N/A",ISBLANK(S119),T119&lt;&gt;"Yes"),IF(OR(R119="Critical",R119="High"),L119+30,IF(R119="Moderate",L119+90,IF(R119="Low",L119+180,""))),IF(OR(S119="Critical",S119="High"),L119+30,IF(S119="Moderate",L119+90,IF(S119="Low",L119+180,""))))</f>
      </c>
      <c r="N119" s="21"/>
      <c r="O119" s="2"/>
      <c r="P119" s="21"/>
      <c r="Q119" s="2"/>
      <c r="R119" s="2"/>
      <c r="S119" s="2"/>
      <c r="T119" s="2"/>
      <c r="U119" s="2"/>
      <c r="V119" s="2"/>
      <c r="W119" s="2"/>
      <c r="X119" s="2"/>
      <c r="Y119" s="2"/>
      <c r="Z119" s="2"/>
      <c r="AA119" s="21"/>
      <c r="AB119" s="2"/>
    </row>
    <row r="120" ht="12.75" customHeight="1">
      <c r="A120" s="2"/>
      <c r="B120" s="2"/>
      <c r="C120" s="2"/>
      <c r="D120" s="2"/>
      <c r="E120" s="2"/>
      <c r="F120" s="2"/>
      <c r="G120" s="2"/>
      <c r="H120" s="2"/>
      <c r="I120" s="2"/>
      <c r="J120" s="2"/>
      <c r="K120" s="2"/>
      <c r="L120" s="21"/>
      <c r="M120" s="22">
        <f>IF(OR(S120="N/A",ISBLANK(S120),T120&lt;&gt;"Yes"),IF(OR(R120="Critical",R120="High"),L120+30,IF(R120="Moderate",L120+90,IF(R120="Low",L120+180,""))),IF(OR(S120="Critical",S120="High"),L120+30,IF(S120="Moderate",L120+90,IF(S120="Low",L120+180,""))))</f>
      </c>
      <c r="N120" s="21"/>
      <c r="O120" s="2"/>
      <c r="P120" s="21"/>
      <c r="Q120" s="2"/>
      <c r="R120" s="2"/>
      <c r="S120" s="2"/>
      <c r="T120" s="2"/>
      <c r="U120" s="2"/>
      <c r="V120" s="2"/>
      <c r="W120" s="2"/>
      <c r="X120" s="2"/>
      <c r="Y120" s="2"/>
      <c r="Z120" s="2"/>
      <c r="AA120" s="21"/>
      <c r="AB120" s="2"/>
    </row>
    <row r="121" ht="12.75" customHeight="1">
      <c r="A121" s="2"/>
      <c r="B121" s="2"/>
      <c r="C121" s="2"/>
      <c r="D121" s="2"/>
      <c r="E121" s="2"/>
      <c r="F121" s="2"/>
      <c r="G121" s="2"/>
      <c r="H121" s="2"/>
      <c r="I121" s="2"/>
      <c r="J121" s="2"/>
      <c r="K121" s="2"/>
      <c r="L121" s="21"/>
      <c r="M121" s="22">
        <f>IF(OR(S121="N/A",ISBLANK(S121),T121&lt;&gt;"Yes"),IF(OR(R121="Critical",R121="High"),L121+30,IF(R121="Moderate",L121+90,IF(R121="Low",L121+180,""))),IF(OR(S121="Critical",S121="High"),L121+30,IF(S121="Moderate",L121+90,IF(S121="Low",L121+180,""))))</f>
      </c>
      <c r="N121" s="21"/>
      <c r="O121" s="2"/>
      <c r="P121" s="21"/>
      <c r="Q121" s="2"/>
      <c r="R121" s="2"/>
      <c r="S121" s="2"/>
      <c r="T121" s="2"/>
      <c r="U121" s="2"/>
      <c r="V121" s="2"/>
      <c r="W121" s="2"/>
      <c r="X121" s="2"/>
      <c r="Y121" s="2"/>
      <c r="Z121" s="2"/>
      <c r="AA121" s="21"/>
      <c r="AB121" s="2"/>
    </row>
    <row r="122" ht="12.75" customHeight="1">
      <c r="A122" s="2"/>
      <c r="B122" s="2"/>
      <c r="C122" s="2"/>
      <c r="D122" s="2"/>
      <c r="E122" s="2"/>
      <c r="F122" s="2"/>
      <c r="G122" s="2"/>
      <c r="H122" s="2"/>
      <c r="I122" s="2"/>
      <c r="J122" s="2"/>
      <c r="K122" s="2"/>
      <c r="L122" s="21"/>
      <c r="M122" s="22">
        <f>IF(OR(S122="N/A",ISBLANK(S122),T122&lt;&gt;"Yes"),IF(OR(R122="Critical",R122="High"),L122+30,IF(R122="Moderate",L122+90,IF(R122="Low",L122+180,""))),IF(OR(S122="Critical",S122="High"),L122+30,IF(S122="Moderate",L122+90,IF(S122="Low",L122+180,""))))</f>
      </c>
      <c r="N122" s="21"/>
      <c r="O122" s="2"/>
      <c r="P122" s="21"/>
      <c r="Q122" s="2"/>
      <c r="R122" s="2"/>
      <c r="S122" s="2"/>
      <c r="T122" s="2"/>
      <c r="U122" s="2"/>
      <c r="V122" s="2"/>
      <c r="W122" s="2"/>
      <c r="X122" s="2"/>
      <c r="Y122" s="2"/>
      <c r="Z122" s="2"/>
      <c r="AA122" s="21"/>
      <c r="AB122" s="2"/>
    </row>
    <row r="123" ht="12.75" customHeight="1">
      <c r="A123" s="2"/>
      <c r="B123" s="2"/>
      <c r="C123" s="2"/>
      <c r="D123" s="2"/>
      <c r="E123" s="2"/>
      <c r="F123" s="2"/>
      <c r="G123" s="2"/>
      <c r="H123" s="2"/>
      <c r="I123" s="2"/>
      <c r="J123" s="2"/>
      <c r="K123" s="2"/>
      <c r="L123" s="21"/>
      <c r="M123" s="22">
        <f>IF(OR(S123="N/A",ISBLANK(S123),T123&lt;&gt;"Yes"),IF(OR(R123="Critical",R123="High"),L123+30,IF(R123="Moderate",L123+90,IF(R123="Low",L123+180,""))),IF(OR(S123="Critical",S123="High"),L123+30,IF(S123="Moderate",L123+90,IF(S123="Low",L123+180,""))))</f>
      </c>
      <c r="N123" s="21"/>
      <c r="O123" s="2"/>
      <c r="P123" s="21"/>
      <c r="Q123" s="2"/>
      <c r="R123" s="2"/>
      <c r="S123" s="2"/>
      <c r="T123" s="2"/>
      <c r="U123" s="2"/>
      <c r="V123" s="2"/>
      <c r="W123" s="2"/>
      <c r="X123" s="2"/>
      <c r="Y123" s="2"/>
      <c r="Z123" s="2"/>
      <c r="AA123" s="21"/>
      <c r="AB123" s="2"/>
    </row>
    <row r="124" ht="12.75" customHeight="1">
      <c r="A124" s="2"/>
      <c r="B124" s="2"/>
      <c r="C124" s="2"/>
      <c r="D124" s="2"/>
      <c r="E124" s="2"/>
      <c r="F124" s="2"/>
      <c r="G124" s="2"/>
      <c r="H124" s="2"/>
      <c r="I124" s="2"/>
      <c r="J124" s="2"/>
      <c r="K124" s="2"/>
      <c r="L124" s="21"/>
      <c r="M124" s="22">
        <f>IF(OR(S124="N/A",ISBLANK(S124),T124&lt;&gt;"Yes"),IF(OR(R124="Critical",R124="High"),L124+30,IF(R124="Moderate",L124+90,IF(R124="Low",L124+180,""))),IF(OR(S124="Critical",S124="High"),L124+30,IF(S124="Moderate",L124+90,IF(S124="Low",L124+180,""))))</f>
      </c>
      <c r="N124" s="21"/>
      <c r="O124" s="2"/>
      <c r="P124" s="21"/>
      <c r="Q124" s="2"/>
      <c r="R124" s="2"/>
      <c r="S124" s="2"/>
      <c r="T124" s="2"/>
      <c r="U124" s="2"/>
      <c r="V124" s="2"/>
      <c r="W124" s="2"/>
      <c r="X124" s="2"/>
      <c r="Y124" s="2"/>
      <c r="Z124" s="2"/>
      <c r="AA124" s="21"/>
      <c r="AB124" s="2"/>
    </row>
    <row r="125" ht="12.75" customHeight="1">
      <c r="A125" s="2"/>
      <c r="B125" s="2"/>
      <c r="C125" s="2"/>
      <c r="D125" s="2"/>
      <c r="E125" s="2"/>
      <c r="F125" s="2"/>
      <c r="G125" s="2"/>
      <c r="H125" s="2"/>
      <c r="I125" s="2"/>
      <c r="J125" s="2"/>
      <c r="K125" s="2"/>
      <c r="L125" s="21"/>
      <c r="M125" s="22">
        <f>IF(OR(S125="N/A",ISBLANK(S125),T125&lt;&gt;"Yes"),IF(OR(R125="Critical",R125="High"),L125+30,IF(R125="Moderate",L125+90,IF(R125="Low",L125+180,""))),IF(OR(S125="Critical",S125="High"),L125+30,IF(S125="Moderate",L125+90,IF(S125="Low",L125+180,""))))</f>
      </c>
      <c r="N125" s="21"/>
      <c r="O125" s="2"/>
      <c r="P125" s="21"/>
      <c r="Q125" s="2"/>
      <c r="R125" s="2"/>
      <c r="S125" s="2"/>
      <c r="T125" s="2"/>
      <c r="U125" s="2"/>
      <c r="V125" s="2"/>
      <c r="W125" s="2"/>
      <c r="X125" s="2"/>
      <c r="Y125" s="2"/>
      <c r="Z125" s="2"/>
      <c r="AA125" s="21"/>
      <c r="AB125" s="2"/>
    </row>
    <row r="126" ht="12.75" customHeight="1">
      <c r="A126" s="2"/>
      <c r="B126" s="2"/>
      <c r="C126" s="2"/>
      <c r="D126" s="2"/>
      <c r="E126" s="2"/>
      <c r="F126" s="2"/>
      <c r="G126" s="2"/>
      <c r="H126" s="2"/>
      <c r="I126" s="2"/>
      <c r="J126" s="2"/>
      <c r="K126" s="2"/>
      <c r="L126" s="21"/>
      <c r="M126" s="22">
        <f>IF(OR(S126="N/A",ISBLANK(S126),T126&lt;&gt;"Yes"),IF(OR(R126="Critical",R126="High"),L126+30,IF(R126="Moderate",L126+90,IF(R126="Low",L126+180,""))),IF(OR(S126="Critical",S126="High"),L126+30,IF(S126="Moderate",L126+90,IF(S126="Low",L126+180,""))))</f>
      </c>
      <c r="N126" s="21"/>
      <c r="O126" s="2"/>
      <c r="P126" s="21"/>
      <c r="Q126" s="2"/>
      <c r="R126" s="2"/>
      <c r="S126" s="2"/>
      <c r="T126" s="2"/>
      <c r="U126" s="2"/>
      <c r="V126" s="2"/>
      <c r="W126" s="2"/>
      <c r="X126" s="2"/>
      <c r="Y126" s="2"/>
      <c r="Z126" s="2"/>
      <c r="AA126" s="21"/>
      <c r="AB126" s="2"/>
    </row>
    <row r="127" ht="12.75" customHeight="1">
      <c r="A127" s="2"/>
      <c r="B127" s="2"/>
      <c r="C127" s="2"/>
      <c r="D127" s="2"/>
      <c r="E127" s="2"/>
      <c r="F127" s="2"/>
      <c r="G127" s="2"/>
      <c r="H127" s="2"/>
      <c r="I127" s="2"/>
      <c r="J127" s="2"/>
      <c r="K127" s="2"/>
      <c r="L127" s="21"/>
      <c r="M127" s="22">
        <f>IF(OR(S127="N/A",ISBLANK(S127),T127&lt;&gt;"Yes"),IF(OR(R127="Critical",R127="High"),L127+30,IF(R127="Moderate",L127+90,IF(R127="Low",L127+180,""))),IF(OR(S127="Critical",S127="High"),L127+30,IF(S127="Moderate",L127+90,IF(S127="Low",L127+180,""))))</f>
      </c>
      <c r="N127" s="21"/>
      <c r="O127" s="2"/>
      <c r="P127" s="21"/>
      <c r="Q127" s="2"/>
      <c r="R127" s="2"/>
      <c r="S127" s="2"/>
      <c r="T127" s="2"/>
      <c r="U127" s="2"/>
      <c r="V127" s="2"/>
      <c r="W127" s="2"/>
      <c r="X127" s="2"/>
      <c r="Y127" s="2"/>
      <c r="Z127" s="2"/>
      <c r="AA127" s="21"/>
      <c r="AB127" s="2"/>
    </row>
    <row r="128" ht="12.75" customHeight="1">
      <c r="A128" s="2"/>
      <c r="B128" s="2"/>
      <c r="C128" s="2"/>
      <c r="D128" s="2"/>
      <c r="E128" s="2"/>
      <c r="F128" s="2"/>
      <c r="G128" s="2"/>
      <c r="H128" s="2"/>
      <c r="I128" s="2"/>
      <c r="J128" s="2"/>
      <c r="K128" s="2"/>
      <c r="L128" s="21"/>
      <c r="M128" s="22">
        <f>IF(OR(S128="N/A",ISBLANK(S128),T128&lt;&gt;"Yes"),IF(OR(R128="Critical",R128="High"),L128+30,IF(R128="Moderate",L128+90,IF(R128="Low",L128+180,""))),IF(OR(S128="Critical",S128="High"),L128+30,IF(S128="Moderate",L128+90,IF(S128="Low",L128+180,""))))</f>
      </c>
      <c r="N128" s="21"/>
      <c r="O128" s="2"/>
      <c r="P128" s="21"/>
      <c r="Q128" s="2"/>
      <c r="R128" s="2"/>
      <c r="S128" s="2"/>
      <c r="T128" s="2"/>
      <c r="U128" s="2"/>
      <c r="V128" s="2"/>
      <c r="W128" s="2"/>
      <c r="X128" s="2"/>
      <c r="Y128" s="2"/>
      <c r="Z128" s="2"/>
      <c r="AA128" s="21"/>
      <c r="AB128" s="2"/>
    </row>
    <row r="129" ht="12.75" customHeight="1">
      <c r="A129" s="2"/>
      <c r="B129" s="2"/>
      <c r="C129" s="2"/>
      <c r="D129" s="2"/>
      <c r="E129" s="2"/>
      <c r="F129" s="2"/>
      <c r="G129" s="2"/>
      <c r="H129" s="2"/>
      <c r="I129" s="2"/>
      <c r="J129" s="2"/>
      <c r="K129" s="2"/>
      <c r="L129" s="21"/>
      <c r="M129" s="22">
        <f>IF(OR(S129="N/A",ISBLANK(S129),T129&lt;&gt;"Yes"),IF(OR(R129="Critical",R129="High"),L129+30,IF(R129="Moderate",L129+90,IF(R129="Low",L129+180,""))),IF(OR(S129="Critical",S129="High"),L129+30,IF(S129="Moderate",L129+90,IF(S129="Low",L129+180,""))))</f>
      </c>
      <c r="N129" s="21"/>
      <c r="O129" s="2"/>
      <c r="P129" s="21"/>
      <c r="Q129" s="2"/>
      <c r="R129" s="2"/>
      <c r="S129" s="2"/>
      <c r="T129" s="2"/>
      <c r="U129" s="2"/>
      <c r="V129" s="2"/>
      <c r="W129" s="2"/>
      <c r="X129" s="2"/>
      <c r="Y129" s="2"/>
      <c r="Z129" s="2"/>
      <c r="AA129" s="21"/>
      <c r="AB129" s="2"/>
    </row>
  </sheetData>
  <conditionalFormatting sqref="B3:N3 P3:AB3 A5:A1055 B5:AB4017">
    <cfRule type="expression" dxfId="0" priority="1">
      <formula>MOD(ROW(),2)=0</formula>
    </cfRule>
  </conditionalFormatting>
  <dataValidations>
    <dataValidation type="date" operator="notBetween" allowBlank="1" showInputMessage="1" showErrorMessage="1" prompt="Date" sqref="L1 L5:L4017">
      <formula1>29221.0</formula1>
      <formula2>29221.0</formula2>
    </dataValidation>
    <dataValidation type="date" operator="notBetween" allowBlank="1" showInputMessage="1" showErrorMessage="1" prompt="Date" sqref="M1 M3 M5:M4017">
      <formula1>1.0</formula1>
      <formula2>1.0</formula2>
    </dataValidation>
    <dataValidation type="list" allowBlank="1" showInputMessage="1" showErrorMessage="1" prompt="Low, Moderate, High, Critical" sqref="R1 R5:R4017">
      <formula1>"Low,Moderate,High,Critical"</formula1>
    </dataValidation>
    <dataValidation type="date" operator="greaterThan" allowBlank="1" showInputMessage="1" showErrorMessage="1" prompt="Date" sqref="N1 P1 N3 P3 AA3 N5:N4017 P5:P4017">
      <formula1>36526.0</formula1>
    </dataValidation>
    <dataValidation type="decimal" operator="notEqual" allowBlank="1" showErrorMessage="1" sqref="G1 G153:G4017">
      <formula1>-9999.0</formula1>
    </dataValidation>
    <dataValidation type="list" allowBlank="1" showInputMessage="1" showErrorMessage="1" prompt="Low, Moderate, High, Critical, N/A" sqref="S1 S5:S4017">
      <formula1>"Low,Moderate,High,Critical,N/A"</formula1>
    </dataValidation>
    <dataValidation type="list" allowBlank="1" showInputMessage="1" showErrorMessage="1" prompt="Yes,No,Pending" sqref="O1 O5:O4017">
      <formula1>"Yes,No"</formula1>
    </dataValidation>
    <dataValidation type="list" allowBlank="1" showInputMessage="1" showErrorMessage="1" prompt="Yes,No,Pending" sqref="T1:V1 T3:V3 T5:V4017">
      <formula1>"Yes,No,Pending"</formula1>
    </dataValidation>
  </dataValidations>
  <printOptions/>
  <pageMargins bottom="0.75" footer="0.0" header="0.0" left="0.7" right="0.7" top="0.75"/>
  <pageSetup orientation="portrait"/>
  <drawing r:id="rId1"/>
</worksheet>
</file>